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ru0nntr\Desktop\Прочее\Linear Motion Calculator\project_v0.97\public\"/>
    </mc:Choice>
  </mc:AlternateContent>
  <bookViews>
    <workbookView xWindow="0" yWindow="0" windowWidth="28800" windowHeight="1423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5" i="1"/>
  <c r="D16" i="1"/>
  <c r="D8" i="1"/>
  <c r="D6" i="1"/>
  <c r="D4" i="1"/>
  <c r="D12" i="1"/>
  <c r="D14" i="1"/>
  <c r="H50" i="1" l="1"/>
  <c r="H51" i="1"/>
  <c r="H49" i="1"/>
  <c r="H48" i="1"/>
  <c r="H46" i="1"/>
  <c r="H47" i="1"/>
  <c r="H45" i="1"/>
  <c r="H43" i="1"/>
  <c r="H44" i="1"/>
  <c r="H42" i="1"/>
  <c r="H33" i="1"/>
  <c r="H34" i="1"/>
  <c r="H35" i="1"/>
  <c r="H36" i="1"/>
  <c r="H37" i="1"/>
  <c r="H38" i="1"/>
  <c r="H32" i="1"/>
  <c r="H31" i="1"/>
  <c r="H30" i="1"/>
  <c r="H18" i="1"/>
  <c r="H19" i="1"/>
  <c r="H17" i="1"/>
</calcChain>
</file>

<file path=xl/sharedStrings.xml><?xml version="1.0" encoding="utf-8"?>
<sst xmlns="http://schemas.openxmlformats.org/spreadsheetml/2006/main" count="184" uniqueCount="95">
  <si>
    <t>ITO40</t>
  </si>
  <si>
    <t>name</t>
  </si>
  <si>
    <t>ITO160</t>
  </si>
  <si>
    <t>lead</t>
  </si>
  <si>
    <t>M_idleTorque</t>
  </si>
  <si>
    <t>M_zsInertia</t>
  </si>
  <si>
    <t>M_pmInertia</t>
  </si>
  <si>
    <t>M_maxTorque</t>
  </si>
  <si>
    <t>GSC50-L05</t>
  </si>
  <si>
    <t>GSC50-L10</t>
  </si>
  <si>
    <t>GSC50-L20</t>
  </si>
  <si>
    <t>GSC80-L05</t>
  </si>
  <si>
    <t>GSC80-L10</t>
  </si>
  <si>
    <t>GSC80-L20</t>
  </si>
  <si>
    <t>GSC80-L32</t>
  </si>
  <si>
    <t>GSC120-L05</t>
  </si>
  <si>
    <t>GSC120-L10</t>
  </si>
  <si>
    <t>GSC120-L20</t>
  </si>
  <si>
    <t>GSC120-L32</t>
  </si>
  <si>
    <t>GTC50-L40</t>
  </si>
  <si>
    <t>GTC80-L48</t>
  </si>
  <si>
    <t>LMC25-1205</t>
  </si>
  <si>
    <t>LMC25-1210</t>
  </si>
  <si>
    <t>LMC25-1220</t>
  </si>
  <si>
    <t>LMC32-1205</t>
  </si>
  <si>
    <t>LMC32-1210</t>
  </si>
  <si>
    <t>LMC32-1220</t>
  </si>
  <si>
    <t>LMC40-1205</t>
  </si>
  <si>
    <t>LMC40-1210</t>
  </si>
  <si>
    <t>LMC40-1220</t>
  </si>
  <si>
    <t>LMC50-1605</t>
  </si>
  <si>
    <t>LMC50-1610</t>
  </si>
  <si>
    <t>LMC50-1620</t>
  </si>
  <si>
    <t>LMC63-2005</t>
  </si>
  <si>
    <t>LMC63-2010</t>
  </si>
  <si>
    <t>LMC63-2020</t>
  </si>
  <si>
    <t>LMC80-3205</t>
  </si>
  <si>
    <t>LMC80-3210</t>
  </si>
  <si>
    <t>LMC80-3220</t>
  </si>
  <si>
    <t>LMC80-2525</t>
  </si>
  <si>
    <t>ScrewDLR</t>
  </si>
  <si>
    <t>LMC110-4040</t>
  </si>
  <si>
    <t>LMC110-4020</t>
  </si>
  <si>
    <t>LMC110-4010</t>
  </si>
  <si>
    <t>Screw_dr</t>
  </si>
  <si>
    <t>Screw_la</t>
  </si>
  <si>
    <t>mod_Mx</t>
  </si>
  <si>
    <t>mod_My</t>
  </si>
  <si>
    <t>mod_Mz</t>
  </si>
  <si>
    <t>mod_lever</t>
  </si>
  <si>
    <t>mod_GSLM</t>
  </si>
  <si>
    <t>mod_Zd</t>
  </si>
  <si>
    <t>mod_pic</t>
  </si>
  <si>
    <t>mod_maxSpeed</t>
  </si>
  <si>
    <t>mod_maxAcc</t>
  </si>
  <si>
    <t>ITC60</t>
  </si>
  <si>
    <t>ITC60L</t>
  </si>
  <si>
    <t>ITC80</t>
  </si>
  <si>
    <t>ITC80L</t>
  </si>
  <si>
    <t>ITC100</t>
  </si>
  <si>
    <t>ITC100L</t>
  </si>
  <si>
    <t>HTO60</t>
  </si>
  <si>
    <t>HTO80</t>
  </si>
  <si>
    <t>HTO80L</t>
  </si>
  <si>
    <t>HTO100</t>
  </si>
  <si>
    <t>HTO100L</t>
  </si>
  <si>
    <t>HTZ60</t>
  </si>
  <si>
    <t>HTZ80</t>
  </si>
  <si>
    <t>calc_GSL</t>
  </si>
  <si>
    <t>calc_maxTorque</t>
  </si>
  <si>
    <t>calc_maxSpeed</t>
  </si>
  <si>
    <t>40, 60</t>
  </si>
  <si>
    <t>60, 80</t>
  </si>
  <si>
    <t>80, 130</t>
  </si>
  <si>
    <t>80, 130, 180</t>
  </si>
  <si>
    <t>130, 180</t>
  </si>
  <si>
    <t>calc_SSL</t>
  </si>
  <si>
    <t>mod_wGearbox</t>
  </si>
  <si>
    <t>mod_motSize</t>
  </si>
  <si>
    <t>42ZB</t>
  </si>
  <si>
    <t>60ZB</t>
  </si>
  <si>
    <t>90ZB</t>
  </si>
  <si>
    <t>mod_GBtype</t>
  </si>
  <si>
    <t>calc_meanTorque</t>
  </si>
  <si>
    <t>calc_meanRPM</t>
  </si>
  <si>
    <t>mod_GB_idleTorque</t>
  </si>
  <si>
    <t>mod_GB_inertia</t>
  </si>
  <si>
    <t>./pics/itc.png</t>
  </si>
  <si>
    <t>./pics/ito_160.png</t>
  </si>
  <si>
    <t>./pics/hto.png</t>
  </si>
  <si>
    <t>./pics/htz-60_80.png</t>
  </si>
  <si>
    <t>./pics/gsc-50_80.png</t>
  </si>
  <si>
    <t>./pics/gsc-120.png</t>
  </si>
  <si>
    <t>./pics/gtc.png</t>
  </si>
  <si>
    <t>./pics/lmc.png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</si>
</sst>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2">
    <cellStyle name="Standard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C51"/>
  <sheetViews>
    <sheetView tabSelected="1" workbookViewId="0">
      <selection activeCell="P2" sqref="P2:P51"/>
    </sheetView>
  </sheetViews>
  <sheetFormatPr defaultRowHeight="14.4" x14ac:dyDescent="0.3"/>
  <cols>
    <col min="1" max="1" width="11.33203125" bestFit="1" customWidth="1"/>
    <col min="3" max="3" width="10.33203125" bestFit="1" customWidth="1"/>
    <col min="4" max="4" width="11.109375" bestFit="1" customWidth="1"/>
    <col min="5" max="5" width="12.109375" bestFit="1" customWidth="1"/>
    <col min="23" max="23" width="12.109375" bestFit="1" customWidth="1"/>
  </cols>
  <sheetData>
    <row r="1" spans="1:29" x14ac:dyDescent="0.3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40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68</v>
      </c>
      <c r="T1" t="s">
        <v>69</v>
      </c>
      <c r="U1" t="s">
        <v>70</v>
      </c>
      <c r="V1" t="s">
        <v>76</v>
      </c>
      <c r="W1" t="s">
        <v>78</v>
      </c>
      <c r="X1" t="s">
        <v>77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</row>
    <row r="2" spans="1:29" x14ac:dyDescent="0.3">
      <c r="A2" t="s">
        <v>0</v>
      </c>
      <c r="B2">
        <v>99</v>
      </c>
      <c r="C2">
        <v>0.1</v>
      </c>
      <c r="D2">
        <v>9.2559999999999995E-5</v>
      </c>
      <c r="E2">
        <v>9.4600000000000009E-6</v>
      </c>
      <c r="F2">
        <v>6</v>
      </c>
      <c r="G2">
        <v>0</v>
      </c>
      <c r="H2">
        <v>0</v>
      </c>
      <c r="I2">
        <v>0</v>
      </c>
      <c r="J2">
        <v>6</v>
      </c>
      <c r="K2">
        <v>20</v>
      </c>
      <c r="L2">
        <v>20</v>
      </c>
      <c r="M2">
        <v>33</v>
      </c>
      <c r="N2">
        <v>5000</v>
      </c>
      <c r="O2">
        <v>20</v>
      </c>
      <c r="P2" t="s">
        <v>87</v>
      </c>
      <c r="Q2">
        <v>3</v>
      </c>
      <c r="R2">
        <v>50</v>
      </c>
      <c r="W2" t="s">
        <v>71</v>
      </c>
      <c r="X2">
        <v>1</v>
      </c>
      <c r="Y2" t="s">
        <v>79</v>
      </c>
      <c r="AB2">
        <v>0.05</v>
      </c>
      <c r="AC2">
        <v>1.5999999999999999E-5</v>
      </c>
    </row>
    <row r="3" spans="1:29" x14ac:dyDescent="0.3">
      <c r="A3" t="s">
        <v>55</v>
      </c>
      <c r="B3">
        <v>130</v>
      </c>
      <c r="C3">
        <v>0.35</v>
      </c>
      <c r="D3">
        <v>4.9330000000000001E-4</v>
      </c>
      <c r="E3">
        <v>9.7150000000000003E-5</v>
      </c>
      <c r="F3">
        <v>13.3</v>
      </c>
      <c r="G3">
        <v>0</v>
      </c>
      <c r="H3">
        <v>0</v>
      </c>
      <c r="I3">
        <v>0</v>
      </c>
      <c r="J3">
        <v>22</v>
      </c>
      <c r="K3">
        <v>78</v>
      </c>
      <c r="L3">
        <v>78</v>
      </c>
      <c r="M3">
        <v>60</v>
      </c>
      <c r="N3">
        <v>10000</v>
      </c>
      <c r="O3">
        <v>40</v>
      </c>
      <c r="P3" t="s">
        <v>87</v>
      </c>
      <c r="Q3">
        <v>5</v>
      </c>
      <c r="R3">
        <v>50</v>
      </c>
      <c r="W3" t="s">
        <v>72</v>
      </c>
      <c r="X3">
        <v>1</v>
      </c>
      <c r="Y3" t="s">
        <v>80</v>
      </c>
      <c r="AB3">
        <v>0.1</v>
      </c>
      <c r="AC3">
        <v>2.1999999999999999E-5</v>
      </c>
    </row>
    <row r="4" spans="1:29" x14ac:dyDescent="0.3">
      <c r="A4" t="s">
        <v>56</v>
      </c>
      <c r="B4">
        <v>130</v>
      </c>
      <c r="C4">
        <v>0.35</v>
      </c>
      <c r="D4">
        <f>0.0004933*1.1</f>
        <v>5.4263000000000011E-4</v>
      </c>
      <c r="E4">
        <v>9.7150000000000003E-5</v>
      </c>
      <c r="F4">
        <v>13.3</v>
      </c>
      <c r="G4">
        <v>0</v>
      </c>
      <c r="H4">
        <v>0</v>
      </c>
      <c r="I4">
        <v>0</v>
      </c>
      <c r="J4">
        <v>40</v>
      </c>
      <c r="K4">
        <v>231</v>
      </c>
      <c r="L4">
        <v>231</v>
      </c>
      <c r="M4">
        <v>60</v>
      </c>
      <c r="N4">
        <v>10000</v>
      </c>
      <c r="O4">
        <v>40</v>
      </c>
      <c r="P4" t="s">
        <v>87</v>
      </c>
      <c r="Q4">
        <v>5</v>
      </c>
      <c r="R4">
        <v>50</v>
      </c>
      <c r="W4" t="s">
        <v>72</v>
      </c>
      <c r="X4">
        <v>1</v>
      </c>
      <c r="Y4" t="s">
        <v>80</v>
      </c>
      <c r="AB4">
        <v>0.1</v>
      </c>
      <c r="AC4">
        <v>2.1999999999999999E-5</v>
      </c>
    </row>
    <row r="5" spans="1:29" x14ac:dyDescent="0.3">
      <c r="A5" t="s">
        <v>57</v>
      </c>
      <c r="B5">
        <v>176</v>
      </c>
      <c r="C5">
        <v>0.5</v>
      </c>
      <c r="D5">
        <v>2.1577800000000002E-3</v>
      </c>
      <c r="E5">
        <v>3.1371000000000003E-4</v>
      </c>
      <c r="F5">
        <v>42</v>
      </c>
      <c r="G5">
        <v>0</v>
      </c>
      <c r="H5">
        <v>0</v>
      </c>
      <c r="I5">
        <v>0</v>
      </c>
      <c r="J5">
        <v>75</v>
      </c>
      <c r="K5">
        <v>210</v>
      </c>
      <c r="L5">
        <v>210</v>
      </c>
      <c r="M5">
        <v>76</v>
      </c>
      <c r="N5">
        <v>1250</v>
      </c>
      <c r="O5">
        <v>50</v>
      </c>
      <c r="P5" t="s">
        <v>87</v>
      </c>
      <c r="Q5">
        <v>5</v>
      </c>
      <c r="R5">
        <v>50</v>
      </c>
      <c r="W5" t="s">
        <v>73</v>
      </c>
      <c r="X5">
        <v>1</v>
      </c>
      <c r="Y5" t="s">
        <v>81</v>
      </c>
      <c r="AB5">
        <v>0.4</v>
      </c>
      <c r="AC5">
        <v>1.7000000000000001E-4</v>
      </c>
    </row>
    <row r="6" spans="1:29" x14ac:dyDescent="0.3">
      <c r="A6" t="s">
        <v>58</v>
      </c>
      <c r="B6">
        <v>176</v>
      </c>
      <c r="C6">
        <v>0.5</v>
      </c>
      <c r="D6">
        <f>0.00215778*1.1</f>
        <v>2.3735580000000004E-3</v>
      </c>
      <c r="E6">
        <v>3.1371000000000003E-4</v>
      </c>
      <c r="F6">
        <v>42</v>
      </c>
      <c r="G6">
        <v>0</v>
      </c>
      <c r="H6">
        <v>0</v>
      </c>
      <c r="I6">
        <v>0</v>
      </c>
      <c r="J6">
        <v>100</v>
      </c>
      <c r="K6">
        <v>588</v>
      </c>
      <c r="L6">
        <v>588</v>
      </c>
      <c r="M6">
        <v>76</v>
      </c>
      <c r="N6">
        <v>1250</v>
      </c>
      <c r="O6">
        <v>50</v>
      </c>
      <c r="P6" t="s">
        <v>87</v>
      </c>
      <c r="Q6">
        <v>5</v>
      </c>
      <c r="R6">
        <v>50</v>
      </c>
      <c r="W6" t="s">
        <v>73</v>
      </c>
      <c r="X6">
        <v>1</v>
      </c>
      <c r="Y6" t="s">
        <v>81</v>
      </c>
      <c r="AB6">
        <v>0.4</v>
      </c>
      <c r="AC6">
        <v>1.7000000000000001E-4</v>
      </c>
    </row>
    <row r="7" spans="1:29" x14ac:dyDescent="0.3">
      <c r="A7" t="s">
        <v>59</v>
      </c>
      <c r="B7">
        <v>224</v>
      </c>
      <c r="C7">
        <v>0.9</v>
      </c>
      <c r="D7">
        <v>6.0618000000000009E-3</v>
      </c>
      <c r="E7">
        <v>8.5946000000000004E-4</v>
      </c>
      <c r="F7">
        <v>105.7</v>
      </c>
      <c r="G7">
        <v>0</v>
      </c>
      <c r="H7">
        <v>0</v>
      </c>
      <c r="I7">
        <v>0</v>
      </c>
      <c r="J7">
        <v>115</v>
      </c>
      <c r="K7">
        <v>310</v>
      </c>
      <c r="L7">
        <v>310</v>
      </c>
      <c r="M7">
        <v>95</v>
      </c>
      <c r="N7">
        <v>1500</v>
      </c>
      <c r="O7">
        <v>65</v>
      </c>
      <c r="P7" t="s">
        <v>87</v>
      </c>
      <c r="Q7">
        <v>5</v>
      </c>
      <c r="R7">
        <v>50</v>
      </c>
      <c r="W7" t="s">
        <v>73</v>
      </c>
      <c r="X7">
        <v>1</v>
      </c>
      <c r="Y7" t="s">
        <v>81</v>
      </c>
      <c r="AB7">
        <v>0.4</v>
      </c>
      <c r="AC7">
        <v>1.7000000000000001E-4</v>
      </c>
    </row>
    <row r="8" spans="1:29" x14ac:dyDescent="0.3">
      <c r="A8" t="s">
        <v>60</v>
      </c>
      <c r="B8">
        <v>224</v>
      </c>
      <c r="C8">
        <v>0.9</v>
      </c>
      <c r="D8">
        <f>0.0060618*1.1</f>
        <v>6.6679800000000004E-3</v>
      </c>
      <c r="E8">
        <v>8.5946000000000004E-4</v>
      </c>
      <c r="F8">
        <v>105.7</v>
      </c>
      <c r="G8">
        <v>0</v>
      </c>
      <c r="H8">
        <v>0</v>
      </c>
      <c r="I8">
        <v>0</v>
      </c>
      <c r="J8">
        <v>136</v>
      </c>
      <c r="K8">
        <v>1322</v>
      </c>
      <c r="L8">
        <v>1322</v>
      </c>
      <c r="M8">
        <v>95</v>
      </c>
      <c r="N8">
        <v>1500</v>
      </c>
      <c r="O8">
        <v>65</v>
      </c>
      <c r="P8" t="s">
        <v>87</v>
      </c>
      <c r="Q8">
        <v>5</v>
      </c>
      <c r="R8">
        <v>50</v>
      </c>
      <c r="W8" t="s">
        <v>73</v>
      </c>
      <c r="X8">
        <v>1</v>
      </c>
      <c r="Y8" t="s">
        <v>81</v>
      </c>
      <c r="AB8">
        <v>0.4</v>
      </c>
      <c r="AC8">
        <v>1.7000000000000001E-4</v>
      </c>
    </row>
    <row r="9" spans="1:29" x14ac:dyDescent="0.3">
      <c r="A9" t="s">
        <v>2</v>
      </c>
      <c r="B9">
        <v>176</v>
      </c>
      <c r="C9">
        <v>1.2</v>
      </c>
      <c r="D9">
        <v>4.0000000000000001E-3</v>
      </c>
      <c r="E9">
        <v>3.1345E-4</v>
      </c>
      <c r="F9">
        <v>112.7</v>
      </c>
      <c r="G9">
        <v>0</v>
      </c>
      <c r="H9">
        <v>0</v>
      </c>
      <c r="I9">
        <v>0</v>
      </c>
      <c r="J9">
        <v>395.1</v>
      </c>
      <c r="K9">
        <v>356.2</v>
      </c>
      <c r="L9">
        <v>348.8</v>
      </c>
      <c r="M9">
        <v>60</v>
      </c>
      <c r="N9">
        <v>7500</v>
      </c>
      <c r="O9">
        <v>40</v>
      </c>
      <c r="P9" t="s">
        <v>88</v>
      </c>
      <c r="Q9">
        <v>5</v>
      </c>
      <c r="R9">
        <v>50</v>
      </c>
      <c r="W9" t="s">
        <v>74</v>
      </c>
      <c r="X9">
        <v>1</v>
      </c>
      <c r="Y9" t="s">
        <v>81</v>
      </c>
      <c r="AB9">
        <v>0.4</v>
      </c>
      <c r="AC9">
        <v>1.7000000000000001E-4</v>
      </c>
    </row>
    <row r="10" spans="1:29" x14ac:dyDescent="0.3">
      <c r="A10" t="s">
        <v>61</v>
      </c>
      <c r="B10">
        <v>130</v>
      </c>
      <c r="C10">
        <v>0.5</v>
      </c>
      <c r="D10">
        <v>6.4129000000000009E-4</v>
      </c>
      <c r="E10">
        <v>9.7150000000000003E-5</v>
      </c>
      <c r="F10">
        <v>13.3</v>
      </c>
      <c r="G10">
        <v>0</v>
      </c>
      <c r="H10">
        <v>0</v>
      </c>
      <c r="I10">
        <v>0</v>
      </c>
      <c r="J10">
        <v>82</v>
      </c>
      <c r="K10">
        <v>118</v>
      </c>
      <c r="L10">
        <v>118</v>
      </c>
      <c r="M10">
        <v>60</v>
      </c>
      <c r="N10">
        <v>5000</v>
      </c>
      <c r="O10">
        <v>40</v>
      </c>
      <c r="P10" t="s">
        <v>89</v>
      </c>
      <c r="Q10">
        <v>5</v>
      </c>
      <c r="R10">
        <v>50</v>
      </c>
      <c r="W10" t="s">
        <v>72</v>
      </c>
      <c r="X10">
        <v>1</v>
      </c>
      <c r="Y10" t="s">
        <v>80</v>
      </c>
      <c r="AB10">
        <v>0.1</v>
      </c>
      <c r="AC10">
        <v>2.1999999999999999E-5</v>
      </c>
    </row>
    <row r="11" spans="1:29" x14ac:dyDescent="0.3">
      <c r="A11" t="s">
        <v>62</v>
      </c>
      <c r="B11">
        <v>176</v>
      </c>
      <c r="C11">
        <v>0.9</v>
      </c>
      <c r="D11">
        <v>2.8051140000000005E-3</v>
      </c>
      <c r="E11">
        <v>3.1371000000000003E-4</v>
      </c>
      <c r="F11">
        <v>42</v>
      </c>
      <c r="G11">
        <v>0</v>
      </c>
      <c r="H11">
        <v>0</v>
      </c>
      <c r="I11">
        <v>0</v>
      </c>
      <c r="J11">
        <v>118</v>
      </c>
      <c r="K11">
        <v>333</v>
      </c>
      <c r="L11">
        <v>333</v>
      </c>
      <c r="M11">
        <v>76</v>
      </c>
      <c r="N11">
        <v>5000</v>
      </c>
      <c r="O11">
        <v>50</v>
      </c>
      <c r="P11" t="s">
        <v>89</v>
      </c>
      <c r="Q11">
        <v>5</v>
      </c>
      <c r="R11">
        <v>50</v>
      </c>
      <c r="W11" t="s">
        <v>73</v>
      </c>
      <c r="X11">
        <v>1</v>
      </c>
      <c r="Y11" t="s">
        <v>81</v>
      </c>
      <c r="AB11">
        <v>0.4</v>
      </c>
      <c r="AC11">
        <v>1.7000000000000001E-4</v>
      </c>
    </row>
    <row r="12" spans="1:29" x14ac:dyDescent="0.3">
      <c r="A12" t="s">
        <v>63</v>
      </c>
      <c r="B12">
        <v>176</v>
      </c>
      <c r="C12">
        <v>1.1000000000000001</v>
      </c>
      <c r="D12">
        <f>0.002805114*1.1</f>
        <v>3.0856254000000004E-3</v>
      </c>
      <c r="E12">
        <v>3.1371000000000003E-4</v>
      </c>
      <c r="F12">
        <v>42</v>
      </c>
      <c r="G12">
        <v>0</v>
      </c>
      <c r="H12">
        <v>0</v>
      </c>
      <c r="I12">
        <v>0</v>
      </c>
      <c r="J12">
        <v>178</v>
      </c>
      <c r="K12">
        <v>885</v>
      </c>
      <c r="L12">
        <v>885</v>
      </c>
      <c r="M12">
        <v>76</v>
      </c>
      <c r="N12">
        <v>5000</v>
      </c>
      <c r="O12">
        <v>50</v>
      </c>
      <c r="P12" t="s">
        <v>89</v>
      </c>
      <c r="Q12">
        <v>5</v>
      </c>
      <c r="R12">
        <v>50</v>
      </c>
      <c r="W12" t="s">
        <v>73</v>
      </c>
      <c r="X12">
        <v>1</v>
      </c>
      <c r="Y12" t="s">
        <v>81</v>
      </c>
      <c r="AB12">
        <v>0.4</v>
      </c>
      <c r="AC12">
        <v>1.7000000000000001E-4</v>
      </c>
    </row>
    <row r="13" spans="1:29" x14ac:dyDescent="0.3">
      <c r="A13" t="s">
        <v>64</v>
      </c>
      <c r="B13">
        <v>224</v>
      </c>
      <c r="C13">
        <v>1.4</v>
      </c>
      <c r="D13">
        <v>7.8803399999999996E-3</v>
      </c>
      <c r="E13">
        <v>8.5946000000000004E-4</v>
      </c>
      <c r="F13">
        <v>105.7</v>
      </c>
      <c r="G13">
        <v>0</v>
      </c>
      <c r="H13">
        <v>0</v>
      </c>
      <c r="I13">
        <v>0</v>
      </c>
      <c r="J13">
        <v>216</v>
      </c>
      <c r="K13">
        <v>765</v>
      </c>
      <c r="L13">
        <v>765</v>
      </c>
      <c r="M13">
        <v>95</v>
      </c>
      <c r="N13">
        <v>5000</v>
      </c>
      <c r="O13">
        <v>65</v>
      </c>
      <c r="P13" t="s">
        <v>89</v>
      </c>
      <c r="Q13">
        <v>5</v>
      </c>
      <c r="R13">
        <v>50</v>
      </c>
      <c r="W13" t="s">
        <v>73</v>
      </c>
      <c r="X13">
        <v>1</v>
      </c>
      <c r="Y13" t="s">
        <v>81</v>
      </c>
      <c r="AB13">
        <v>0.4</v>
      </c>
      <c r="AC13">
        <v>1.7000000000000001E-4</v>
      </c>
    </row>
    <row r="14" spans="1:29" x14ac:dyDescent="0.3">
      <c r="A14" t="s">
        <v>65</v>
      </c>
      <c r="B14">
        <v>224</v>
      </c>
      <c r="C14">
        <v>1.6</v>
      </c>
      <c r="D14">
        <f>0.00788034*1.1</f>
        <v>8.6683739999999995E-3</v>
      </c>
      <c r="E14">
        <v>8.5946000000000004E-4</v>
      </c>
      <c r="F14">
        <v>105.7</v>
      </c>
      <c r="G14">
        <v>0</v>
      </c>
      <c r="H14">
        <v>0</v>
      </c>
      <c r="I14">
        <v>0</v>
      </c>
      <c r="J14">
        <v>374</v>
      </c>
      <c r="K14">
        <v>2665</v>
      </c>
      <c r="L14">
        <v>2665</v>
      </c>
      <c r="M14">
        <v>95</v>
      </c>
      <c r="N14">
        <v>5000</v>
      </c>
      <c r="O14">
        <v>65</v>
      </c>
      <c r="P14" t="s">
        <v>89</v>
      </c>
      <c r="Q14">
        <v>5</v>
      </c>
      <c r="R14">
        <v>50</v>
      </c>
      <c r="W14" t="s">
        <v>73</v>
      </c>
      <c r="X14">
        <v>1</v>
      </c>
      <c r="Y14" t="s">
        <v>81</v>
      </c>
      <c r="AB14">
        <v>0.4</v>
      </c>
      <c r="AC14">
        <v>1.7000000000000001E-4</v>
      </c>
    </row>
    <row r="15" spans="1:29" x14ac:dyDescent="0.3">
      <c r="A15" t="s">
        <v>66</v>
      </c>
      <c r="B15">
        <v>130</v>
      </c>
      <c r="C15">
        <v>0.5</v>
      </c>
      <c r="D15">
        <v>6.4129000000000009E-4</v>
      </c>
      <c r="E15">
        <f>7*((130/3.14)/2000)^2</f>
        <v>2.9996145888271327E-3</v>
      </c>
      <c r="F15">
        <v>13.3</v>
      </c>
      <c r="G15">
        <v>0</v>
      </c>
      <c r="H15">
        <v>0</v>
      </c>
      <c r="I15">
        <v>0</v>
      </c>
      <c r="J15">
        <v>20</v>
      </c>
      <c r="K15">
        <v>61</v>
      </c>
      <c r="L15">
        <v>61</v>
      </c>
      <c r="M15">
        <v>60</v>
      </c>
      <c r="N15">
        <v>5000</v>
      </c>
      <c r="O15">
        <v>40</v>
      </c>
      <c r="P15" t="s">
        <v>90</v>
      </c>
      <c r="Q15">
        <v>5</v>
      </c>
      <c r="R15">
        <v>50</v>
      </c>
      <c r="W15" t="s">
        <v>72</v>
      </c>
      <c r="X15">
        <v>1</v>
      </c>
      <c r="Y15" t="s">
        <v>80</v>
      </c>
      <c r="AB15">
        <v>0.1</v>
      </c>
      <c r="AC15">
        <v>1.7000000000000001E-4</v>
      </c>
    </row>
    <row r="16" spans="1:29" x14ac:dyDescent="0.3">
      <c r="A16" t="s">
        <v>67</v>
      </c>
      <c r="B16">
        <v>210</v>
      </c>
      <c r="C16">
        <v>0.9</v>
      </c>
      <c r="D16">
        <f>0.002805114*1.1</f>
        <v>3.0856254000000004E-3</v>
      </c>
      <c r="E16">
        <f>9*((210/3.14)/2000)^2</f>
        <v>1.0063795691508783E-2</v>
      </c>
      <c r="F16">
        <v>42</v>
      </c>
      <c r="G16">
        <v>0</v>
      </c>
      <c r="H16">
        <v>0</v>
      </c>
      <c r="I16">
        <v>0</v>
      </c>
      <c r="J16">
        <v>140</v>
      </c>
      <c r="K16">
        <v>400</v>
      </c>
      <c r="L16">
        <v>400</v>
      </c>
      <c r="M16">
        <v>76</v>
      </c>
      <c r="N16">
        <v>5000</v>
      </c>
      <c r="O16">
        <v>50</v>
      </c>
      <c r="P16" t="s">
        <v>90</v>
      </c>
      <c r="Q16">
        <v>5</v>
      </c>
      <c r="R16">
        <v>50</v>
      </c>
      <c r="W16" t="s">
        <v>73</v>
      </c>
      <c r="X16">
        <v>1</v>
      </c>
      <c r="Y16" t="s">
        <v>81</v>
      </c>
      <c r="AB16">
        <v>0.4</v>
      </c>
      <c r="AC16">
        <v>1.7000000000000001E-4</v>
      </c>
    </row>
    <row r="17" spans="1:29" x14ac:dyDescent="0.3">
      <c r="A17" t="s">
        <v>8</v>
      </c>
      <c r="B17">
        <v>5</v>
      </c>
      <c r="C17">
        <v>7.0000000000000007E-2</v>
      </c>
      <c r="D17">
        <v>1.5E-6</v>
      </c>
      <c r="E17">
        <v>1.13E-5</v>
      </c>
      <c r="F17">
        <v>0.28578612135434128</v>
      </c>
      <c r="G17">
        <v>4829</v>
      </c>
      <c r="H17">
        <f>12-2.5</f>
        <v>9.5</v>
      </c>
      <c r="I17">
        <v>100</v>
      </c>
      <c r="J17">
        <v>12.6</v>
      </c>
      <c r="K17">
        <v>8.8000000000000007</v>
      </c>
      <c r="L17">
        <v>8.8000000000000007</v>
      </c>
      <c r="M17">
        <v>40</v>
      </c>
      <c r="N17">
        <v>10000</v>
      </c>
      <c r="O17">
        <v>30</v>
      </c>
      <c r="P17" t="s">
        <v>91</v>
      </c>
      <c r="Q17">
        <v>0.25</v>
      </c>
      <c r="R17">
        <v>5</v>
      </c>
      <c r="W17" s="1">
        <v>60</v>
      </c>
      <c r="X17">
        <v>0</v>
      </c>
      <c r="AB17">
        <v>0</v>
      </c>
      <c r="AC17">
        <v>0</v>
      </c>
    </row>
    <row r="18" spans="1:29" x14ac:dyDescent="0.3">
      <c r="A18" t="s">
        <v>9</v>
      </c>
      <c r="B18">
        <v>10</v>
      </c>
      <c r="C18">
        <v>0.08</v>
      </c>
      <c r="D18">
        <v>1.5E-6</v>
      </c>
      <c r="E18">
        <v>1.13E-5</v>
      </c>
      <c r="F18">
        <v>0.54</v>
      </c>
      <c r="G18">
        <v>4680</v>
      </c>
      <c r="H18">
        <f t="shared" ref="H18:H19" si="0">12-2.5</f>
        <v>9.5</v>
      </c>
      <c r="I18">
        <v>100</v>
      </c>
      <c r="J18">
        <v>12.6</v>
      </c>
      <c r="K18">
        <v>8.8000000000000007</v>
      </c>
      <c r="L18">
        <v>8.8000000000000007</v>
      </c>
      <c r="M18">
        <v>40</v>
      </c>
      <c r="N18">
        <v>10000</v>
      </c>
      <c r="O18">
        <v>30</v>
      </c>
      <c r="P18" t="s">
        <v>91</v>
      </c>
      <c r="Q18">
        <v>0.5</v>
      </c>
      <c r="R18">
        <v>15</v>
      </c>
      <c r="W18" s="1">
        <v>60</v>
      </c>
      <c r="X18">
        <v>0</v>
      </c>
      <c r="AB18">
        <v>0</v>
      </c>
      <c r="AC18">
        <v>0</v>
      </c>
    </row>
    <row r="19" spans="1:29" x14ac:dyDescent="0.3">
      <c r="A19" t="s">
        <v>10</v>
      </c>
      <c r="B19">
        <v>20</v>
      </c>
      <c r="C19">
        <v>0.09</v>
      </c>
      <c r="D19">
        <v>1.5E-6</v>
      </c>
      <c r="E19">
        <v>1.13E-5</v>
      </c>
      <c r="F19">
        <v>1.08</v>
      </c>
      <c r="G19">
        <v>4250</v>
      </c>
      <c r="H19">
        <f t="shared" si="0"/>
        <v>9.5</v>
      </c>
      <c r="I19">
        <v>100</v>
      </c>
      <c r="J19">
        <v>12.6</v>
      </c>
      <c r="K19">
        <v>8.8000000000000007</v>
      </c>
      <c r="L19">
        <v>8.8000000000000007</v>
      </c>
      <c r="M19">
        <v>40</v>
      </c>
      <c r="N19">
        <v>10000</v>
      </c>
      <c r="O19">
        <v>30</v>
      </c>
      <c r="P19" t="s">
        <v>91</v>
      </c>
      <c r="Q19">
        <v>1</v>
      </c>
      <c r="R19">
        <v>25</v>
      </c>
      <c r="W19" s="1">
        <v>60</v>
      </c>
      <c r="X19">
        <v>0</v>
      </c>
      <c r="AB19">
        <v>0</v>
      </c>
      <c r="AC19">
        <v>0</v>
      </c>
    </row>
    <row r="20" spans="1:29" x14ac:dyDescent="0.3">
      <c r="A20" t="s">
        <v>11</v>
      </c>
      <c r="B20">
        <v>5</v>
      </c>
      <c r="C20">
        <v>0.1</v>
      </c>
      <c r="D20">
        <v>9.9999999999999991E-6</v>
      </c>
      <c r="E20">
        <v>3.57E-5</v>
      </c>
      <c r="F20">
        <v>0.5</v>
      </c>
      <c r="G20">
        <v>8042</v>
      </c>
      <c r="H20">
        <v>13.222</v>
      </c>
      <c r="I20">
        <v>125</v>
      </c>
      <c r="J20">
        <v>43.5</v>
      </c>
      <c r="K20">
        <v>26.2</v>
      </c>
      <c r="L20">
        <v>26.2</v>
      </c>
      <c r="M20">
        <v>50</v>
      </c>
      <c r="N20">
        <v>10000</v>
      </c>
      <c r="O20">
        <v>40</v>
      </c>
      <c r="P20" t="s">
        <v>91</v>
      </c>
      <c r="Q20">
        <v>0.25</v>
      </c>
      <c r="R20">
        <v>5</v>
      </c>
      <c r="W20" s="1">
        <v>60</v>
      </c>
      <c r="X20">
        <v>0</v>
      </c>
      <c r="AB20">
        <v>0</v>
      </c>
      <c r="AC20">
        <v>0</v>
      </c>
    </row>
    <row r="21" spans="1:29" x14ac:dyDescent="0.3">
      <c r="A21" t="s">
        <v>12</v>
      </c>
      <c r="B21">
        <v>10</v>
      </c>
      <c r="C21">
        <v>0.12</v>
      </c>
      <c r="D21">
        <v>9.9999999999999991E-6</v>
      </c>
      <c r="E21">
        <v>3.57E-5</v>
      </c>
      <c r="F21">
        <v>1</v>
      </c>
      <c r="G21">
        <v>6300</v>
      </c>
      <c r="H21">
        <v>13.222</v>
      </c>
      <c r="I21">
        <v>125</v>
      </c>
      <c r="J21">
        <v>43.5</v>
      </c>
      <c r="K21">
        <v>26.2</v>
      </c>
      <c r="L21">
        <v>26.2</v>
      </c>
      <c r="M21">
        <v>50</v>
      </c>
      <c r="N21">
        <v>10000</v>
      </c>
      <c r="O21">
        <v>40</v>
      </c>
      <c r="P21" t="s">
        <v>91</v>
      </c>
      <c r="Q21">
        <v>0.5</v>
      </c>
      <c r="R21">
        <v>15</v>
      </c>
      <c r="W21" s="1" t="s">
        <v>72</v>
      </c>
      <c r="X21">
        <v>0</v>
      </c>
      <c r="AB21">
        <v>0</v>
      </c>
      <c r="AC21">
        <v>0</v>
      </c>
    </row>
    <row r="22" spans="1:29" x14ac:dyDescent="0.3">
      <c r="A22" t="s">
        <v>13</v>
      </c>
      <c r="B22">
        <v>20</v>
      </c>
      <c r="C22">
        <v>0.15</v>
      </c>
      <c r="D22">
        <v>9.9999999999999991E-6</v>
      </c>
      <c r="E22">
        <v>3.57E-5</v>
      </c>
      <c r="F22">
        <v>1.66</v>
      </c>
      <c r="G22">
        <v>4152</v>
      </c>
      <c r="H22">
        <v>13.222</v>
      </c>
      <c r="I22">
        <v>125</v>
      </c>
      <c r="J22">
        <v>43.5</v>
      </c>
      <c r="K22">
        <v>26.2</v>
      </c>
      <c r="L22">
        <v>26.2</v>
      </c>
      <c r="M22">
        <v>50</v>
      </c>
      <c r="N22">
        <v>10000</v>
      </c>
      <c r="O22">
        <v>40</v>
      </c>
      <c r="P22" t="s">
        <v>91</v>
      </c>
      <c r="Q22">
        <v>1</v>
      </c>
      <c r="R22">
        <v>25</v>
      </c>
      <c r="W22" s="1" t="s">
        <v>72</v>
      </c>
      <c r="X22">
        <v>0</v>
      </c>
      <c r="AB22">
        <v>0</v>
      </c>
      <c r="AC22">
        <v>0</v>
      </c>
    </row>
    <row r="23" spans="1:29" x14ac:dyDescent="0.3">
      <c r="A23" t="s">
        <v>14</v>
      </c>
      <c r="B23">
        <v>32</v>
      </c>
      <c r="C23">
        <v>0.17</v>
      </c>
      <c r="D23">
        <v>9.9999999999999991E-6</v>
      </c>
      <c r="E23">
        <v>3.57E-5</v>
      </c>
      <c r="F23">
        <v>3.11</v>
      </c>
      <c r="G23">
        <v>4190</v>
      </c>
      <c r="H23">
        <v>13.222</v>
      </c>
      <c r="I23">
        <v>125</v>
      </c>
      <c r="J23">
        <v>43.5</v>
      </c>
      <c r="K23">
        <v>26.2</v>
      </c>
      <c r="L23">
        <v>26.2</v>
      </c>
      <c r="M23">
        <v>50</v>
      </c>
      <c r="N23">
        <v>10000</v>
      </c>
      <c r="O23">
        <v>40</v>
      </c>
      <c r="P23" t="s">
        <v>91</v>
      </c>
      <c r="Q23">
        <v>1.6</v>
      </c>
      <c r="R23">
        <v>30</v>
      </c>
      <c r="W23" s="1" t="s">
        <v>72</v>
      </c>
      <c r="X23">
        <v>0</v>
      </c>
      <c r="AB23">
        <v>0</v>
      </c>
      <c r="AC23">
        <v>0</v>
      </c>
    </row>
    <row r="24" spans="1:29" x14ac:dyDescent="0.3">
      <c r="A24" t="s">
        <v>15</v>
      </c>
      <c r="B24">
        <v>5</v>
      </c>
      <c r="C24">
        <v>0.12</v>
      </c>
      <c r="D24">
        <v>6.4459999999999989E-5</v>
      </c>
      <c r="E24">
        <v>1E-4</v>
      </c>
      <c r="F24">
        <v>0.73</v>
      </c>
      <c r="G24">
        <v>11570</v>
      </c>
      <c r="H24">
        <v>13.222</v>
      </c>
      <c r="I24">
        <v>125</v>
      </c>
      <c r="J24">
        <v>233.4</v>
      </c>
      <c r="K24">
        <v>129.69999999999999</v>
      </c>
      <c r="L24">
        <v>129.69999999999999</v>
      </c>
      <c r="M24">
        <v>50</v>
      </c>
      <c r="N24">
        <v>10000</v>
      </c>
      <c r="O24">
        <v>35</v>
      </c>
      <c r="P24" t="s">
        <v>92</v>
      </c>
      <c r="Q24">
        <v>0.25</v>
      </c>
      <c r="R24">
        <v>5</v>
      </c>
      <c r="W24" s="1" t="s">
        <v>72</v>
      </c>
      <c r="X24">
        <v>0</v>
      </c>
      <c r="AB24">
        <v>0</v>
      </c>
      <c r="AC24">
        <v>0</v>
      </c>
    </row>
    <row r="25" spans="1:29" x14ac:dyDescent="0.3">
      <c r="A25" t="s">
        <v>16</v>
      </c>
      <c r="B25">
        <v>10</v>
      </c>
      <c r="C25">
        <v>0.15</v>
      </c>
      <c r="D25">
        <v>6.4459999999999989E-5</v>
      </c>
      <c r="E25">
        <v>1E-4</v>
      </c>
      <c r="F25">
        <v>1</v>
      </c>
      <c r="G25">
        <v>6300</v>
      </c>
      <c r="H25">
        <v>13.222</v>
      </c>
      <c r="I25">
        <v>125</v>
      </c>
      <c r="J25">
        <v>233.4</v>
      </c>
      <c r="K25">
        <v>129.69999999999999</v>
      </c>
      <c r="L25">
        <v>129.69999999999999</v>
      </c>
      <c r="M25">
        <v>50</v>
      </c>
      <c r="N25">
        <v>10000</v>
      </c>
      <c r="O25">
        <v>35</v>
      </c>
      <c r="P25" t="s">
        <v>92</v>
      </c>
      <c r="Q25">
        <v>0.5</v>
      </c>
      <c r="R25">
        <v>15</v>
      </c>
      <c r="W25" s="1" t="s">
        <v>72</v>
      </c>
      <c r="X25">
        <v>0</v>
      </c>
      <c r="AB25">
        <v>0</v>
      </c>
      <c r="AC25">
        <v>0</v>
      </c>
    </row>
    <row r="26" spans="1:29" x14ac:dyDescent="0.3">
      <c r="A26" t="s">
        <v>17</v>
      </c>
      <c r="B26">
        <v>20</v>
      </c>
      <c r="C26">
        <v>0.17</v>
      </c>
      <c r="D26">
        <v>6.4459999999999989E-5</v>
      </c>
      <c r="E26">
        <v>1E-4</v>
      </c>
      <c r="F26">
        <v>1.66</v>
      </c>
      <c r="G26">
        <v>4152</v>
      </c>
      <c r="H26">
        <v>13.222</v>
      </c>
      <c r="I26">
        <v>125</v>
      </c>
      <c r="J26">
        <v>233.4</v>
      </c>
      <c r="K26">
        <v>129.69999999999999</v>
      </c>
      <c r="L26">
        <v>129.69999999999999</v>
      </c>
      <c r="M26">
        <v>50</v>
      </c>
      <c r="N26">
        <v>10000</v>
      </c>
      <c r="O26">
        <v>35</v>
      </c>
      <c r="P26" t="s">
        <v>92</v>
      </c>
      <c r="Q26">
        <v>1</v>
      </c>
      <c r="R26">
        <v>25</v>
      </c>
      <c r="W26" s="1" t="s">
        <v>72</v>
      </c>
      <c r="X26">
        <v>0</v>
      </c>
      <c r="AB26">
        <v>0</v>
      </c>
      <c r="AC26">
        <v>0</v>
      </c>
    </row>
    <row r="27" spans="1:29" x14ac:dyDescent="0.3">
      <c r="A27" t="s">
        <v>18</v>
      </c>
      <c r="B27">
        <v>32</v>
      </c>
      <c r="C27">
        <v>0.19</v>
      </c>
      <c r="D27">
        <v>6.4459999999999989E-5</v>
      </c>
      <c r="E27">
        <v>1E-4</v>
      </c>
      <c r="F27">
        <v>5.49</v>
      </c>
      <c r="G27">
        <v>7326</v>
      </c>
      <c r="H27">
        <v>13.222</v>
      </c>
      <c r="I27">
        <v>125</v>
      </c>
      <c r="J27">
        <v>233.4</v>
      </c>
      <c r="K27">
        <v>129.69999999999999</v>
      </c>
      <c r="L27">
        <v>129.69999999999999</v>
      </c>
      <c r="M27">
        <v>50</v>
      </c>
      <c r="N27">
        <v>10000</v>
      </c>
      <c r="O27">
        <v>35</v>
      </c>
      <c r="P27" t="s">
        <v>92</v>
      </c>
      <c r="Q27">
        <v>1.6</v>
      </c>
      <c r="R27">
        <v>30</v>
      </c>
      <c r="W27" s="1" t="s">
        <v>72</v>
      </c>
      <c r="X27">
        <v>0</v>
      </c>
      <c r="AB27">
        <v>0</v>
      </c>
      <c r="AC27">
        <v>0</v>
      </c>
    </row>
    <row r="28" spans="1:29" x14ac:dyDescent="0.3">
      <c r="A28" t="s">
        <v>19</v>
      </c>
      <c r="B28">
        <v>40</v>
      </c>
      <c r="C28">
        <v>0.1</v>
      </c>
      <c r="D28">
        <v>1.5E-6</v>
      </c>
      <c r="E28">
        <v>9.4600000000000009E-6</v>
      </c>
      <c r="F28">
        <v>1.0191082802547771</v>
      </c>
      <c r="G28">
        <v>0</v>
      </c>
      <c r="H28">
        <v>0</v>
      </c>
      <c r="I28">
        <v>0</v>
      </c>
      <c r="J28">
        <v>12.6</v>
      </c>
      <c r="K28">
        <v>8.8000000000000007</v>
      </c>
      <c r="L28">
        <v>8.8000000000000007</v>
      </c>
      <c r="M28">
        <v>40</v>
      </c>
      <c r="N28">
        <v>10000</v>
      </c>
      <c r="O28">
        <v>30</v>
      </c>
      <c r="P28" t="s">
        <v>93</v>
      </c>
      <c r="Q28">
        <v>2</v>
      </c>
      <c r="R28">
        <v>40</v>
      </c>
      <c r="W28" s="1">
        <v>40</v>
      </c>
      <c r="X28">
        <v>0</v>
      </c>
      <c r="AB28">
        <v>0</v>
      </c>
      <c r="AC28">
        <v>0</v>
      </c>
    </row>
    <row r="29" spans="1:29" x14ac:dyDescent="0.3">
      <c r="A29" t="s">
        <v>20</v>
      </c>
      <c r="B29">
        <v>48</v>
      </c>
      <c r="C29">
        <v>0.25</v>
      </c>
      <c r="D29">
        <v>6.9999999999999999E-6</v>
      </c>
      <c r="E29">
        <v>9.7150000000000003E-5</v>
      </c>
      <c r="F29">
        <v>1.7298022125377137</v>
      </c>
      <c r="G29">
        <v>0</v>
      </c>
      <c r="H29">
        <v>0</v>
      </c>
      <c r="I29">
        <v>0</v>
      </c>
      <c r="J29">
        <v>43.5</v>
      </c>
      <c r="K29">
        <v>26.2</v>
      </c>
      <c r="L29">
        <v>26.2</v>
      </c>
      <c r="M29">
        <v>50</v>
      </c>
      <c r="N29">
        <v>10000</v>
      </c>
      <c r="O29">
        <v>40</v>
      </c>
      <c r="P29" t="s">
        <v>93</v>
      </c>
      <c r="Q29">
        <v>2.4</v>
      </c>
      <c r="R29">
        <v>40</v>
      </c>
      <c r="W29" s="1">
        <v>60</v>
      </c>
      <c r="X29">
        <v>0</v>
      </c>
      <c r="AB29">
        <v>0</v>
      </c>
      <c r="AC29">
        <v>0</v>
      </c>
    </row>
    <row r="30" spans="1:29" x14ac:dyDescent="0.3">
      <c r="A30" t="s">
        <v>21</v>
      </c>
      <c r="B30">
        <v>5</v>
      </c>
      <c r="C30">
        <v>0.1</v>
      </c>
      <c r="D30">
        <v>1.2500000000000001E-5</v>
      </c>
      <c r="E30">
        <v>5.2300000000000004E-5</v>
      </c>
      <c r="F30">
        <v>1.17</v>
      </c>
      <c r="G30">
        <v>5380</v>
      </c>
      <c r="H30">
        <f>12-2.5</f>
        <v>9.5</v>
      </c>
      <c r="I30">
        <v>100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94</v>
      </c>
      <c r="Q30">
        <v>0.25</v>
      </c>
      <c r="R30">
        <v>5</v>
      </c>
      <c r="W30" s="1" t="s">
        <v>71</v>
      </c>
      <c r="X30">
        <v>0</v>
      </c>
      <c r="AB30">
        <v>0</v>
      </c>
      <c r="AC30">
        <v>0</v>
      </c>
    </row>
    <row r="31" spans="1:29" x14ac:dyDescent="0.3">
      <c r="A31" t="s">
        <v>22</v>
      </c>
      <c r="B31">
        <v>10</v>
      </c>
      <c r="C31">
        <v>0.1</v>
      </c>
      <c r="D31">
        <v>1.2500000000000001E-5</v>
      </c>
      <c r="E31">
        <v>5.2300000000000004E-5</v>
      </c>
      <c r="F31">
        <v>2.331078862696172</v>
      </c>
      <c r="G31">
        <v>5430</v>
      </c>
      <c r="H31">
        <f t="shared" ref="H31:H38" si="1">12-2.5</f>
        <v>9.5</v>
      </c>
      <c r="I31">
        <v>100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94</v>
      </c>
      <c r="Q31">
        <v>0.5</v>
      </c>
      <c r="R31">
        <v>10</v>
      </c>
      <c r="W31" s="1" t="s">
        <v>71</v>
      </c>
      <c r="X31">
        <v>0</v>
      </c>
      <c r="AB31">
        <v>0</v>
      </c>
      <c r="AC31">
        <v>0</v>
      </c>
    </row>
    <row r="32" spans="1:29" x14ac:dyDescent="0.3">
      <c r="A32" t="s">
        <v>23</v>
      </c>
      <c r="B32">
        <v>20</v>
      </c>
      <c r="C32">
        <v>0.12</v>
      </c>
      <c r="D32">
        <v>1.2500000000000001E-5</v>
      </c>
      <c r="E32">
        <v>5.2300000000000004E-5</v>
      </c>
      <c r="F32">
        <v>2.331078862696172</v>
      </c>
      <c r="G32">
        <v>3775</v>
      </c>
      <c r="H32">
        <f t="shared" si="1"/>
        <v>9.5</v>
      </c>
      <c r="I32">
        <v>100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94</v>
      </c>
      <c r="Q32">
        <v>1</v>
      </c>
      <c r="R32">
        <v>15</v>
      </c>
      <c r="W32" s="1" t="s">
        <v>71</v>
      </c>
      <c r="X32">
        <v>0</v>
      </c>
      <c r="AB32">
        <v>0</v>
      </c>
      <c r="AC32">
        <v>0</v>
      </c>
    </row>
    <row r="33" spans="1:29" x14ac:dyDescent="0.3">
      <c r="A33" t="s">
        <v>24</v>
      </c>
      <c r="B33">
        <v>5</v>
      </c>
      <c r="C33">
        <v>0.1</v>
      </c>
      <c r="D33">
        <v>1.2500000000000001E-5</v>
      </c>
      <c r="E33">
        <v>5.2300000000000004E-5</v>
      </c>
      <c r="F33">
        <v>1.17</v>
      </c>
      <c r="G33">
        <v>5380</v>
      </c>
      <c r="H33">
        <f t="shared" si="1"/>
        <v>9.5</v>
      </c>
      <c r="I33">
        <v>100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94</v>
      </c>
      <c r="Q33">
        <v>0.25</v>
      </c>
      <c r="R33">
        <v>5</v>
      </c>
      <c r="W33" s="1" t="s">
        <v>71</v>
      </c>
      <c r="X33">
        <v>0</v>
      </c>
      <c r="AB33">
        <v>0</v>
      </c>
      <c r="AC33">
        <v>0</v>
      </c>
    </row>
    <row r="34" spans="1:29" x14ac:dyDescent="0.3">
      <c r="A34" t="s">
        <v>25</v>
      </c>
      <c r="B34">
        <v>10</v>
      </c>
      <c r="C34">
        <v>0.1</v>
      </c>
      <c r="D34">
        <v>1.2500000000000001E-5</v>
      </c>
      <c r="E34">
        <v>5.2300000000000004E-5</v>
      </c>
      <c r="F34">
        <v>2.331078862696172</v>
      </c>
      <c r="G34">
        <v>5430</v>
      </c>
      <c r="H34">
        <f t="shared" si="1"/>
        <v>9.5</v>
      </c>
      <c r="I34">
        <v>100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94</v>
      </c>
      <c r="Q34">
        <v>0.5</v>
      </c>
      <c r="R34">
        <v>10</v>
      </c>
      <c r="W34" s="1" t="s">
        <v>71</v>
      </c>
      <c r="X34">
        <v>0</v>
      </c>
      <c r="AB34">
        <v>0</v>
      </c>
      <c r="AC34">
        <v>0</v>
      </c>
    </row>
    <row r="35" spans="1:29" x14ac:dyDescent="0.3">
      <c r="A35" t="s">
        <v>26</v>
      </c>
      <c r="B35">
        <v>20</v>
      </c>
      <c r="C35">
        <v>0.12</v>
      </c>
      <c r="D35">
        <v>1.2500000000000001E-5</v>
      </c>
      <c r="E35">
        <v>5.2300000000000004E-5</v>
      </c>
      <c r="F35">
        <v>2.331078862696172</v>
      </c>
      <c r="G35">
        <v>3775</v>
      </c>
      <c r="H35">
        <f t="shared" si="1"/>
        <v>9.5</v>
      </c>
      <c r="I35">
        <v>100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94</v>
      </c>
      <c r="Q35">
        <v>1</v>
      </c>
      <c r="R35">
        <v>15</v>
      </c>
      <c r="W35" s="1" t="s">
        <v>71</v>
      </c>
      <c r="X35">
        <v>0</v>
      </c>
      <c r="AB35">
        <v>0</v>
      </c>
      <c r="AC35">
        <v>0</v>
      </c>
    </row>
    <row r="36" spans="1:29" x14ac:dyDescent="0.3">
      <c r="A36" t="s">
        <v>27</v>
      </c>
      <c r="B36">
        <v>5</v>
      </c>
      <c r="C36">
        <v>0.1</v>
      </c>
      <c r="D36">
        <v>1.2500000000000001E-5</v>
      </c>
      <c r="E36">
        <v>5.2300000000000004E-5</v>
      </c>
      <c r="F36">
        <v>1.17</v>
      </c>
      <c r="G36">
        <v>5380</v>
      </c>
      <c r="H36">
        <f t="shared" si="1"/>
        <v>9.5</v>
      </c>
      <c r="I36">
        <v>100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94</v>
      </c>
      <c r="Q36">
        <v>0.25</v>
      </c>
      <c r="R36">
        <v>5</v>
      </c>
      <c r="W36" t="s">
        <v>72</v>
      </c>
      <c r="X36">
        <v>0</v>
      </c>
      <c r="AB36">
        <v>0</v>
      </c>
      <c r="AC36">
        <v>0</v>
      </c>
    </row>
    <row r="37" spans="1:29" x14ac:dyDescent="0.3">
      <c r="A37" t="s">
        <v>28</v>
      </c>
      <c r="B37">
        <v>10</v>
      </c>
      <c r="C37">
        <v>0.1</v>
      </c>
      <c r="D37">
        <v>1.2500000000000001E-5</v>
      </c>
      <c r="E37">
        <v>5.2300000000000004E-5</v>
      </c>
      <c r="F37">
        <v>2.331078862696172</v>
      </c>
      <c r="G37">
        <v>5430</v>
      </c>
      <c r="H37">
        <f t="shared" si="1"/>
        <v>9.5</v>
      </c>
      <c r="I37">
        <v>100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94</v>
      </c>
      <c r="Q37">
        <v>0.5</v>
      </c>
      <c r="R37">
        <v>10</v>
      </c>
      <c r="W37" t="s">
        <v>72</v>
      </c>
      <c r="X37">
        <v>0</v>
      </c>
      <c r="AB37">
        <v>0</v>
      </c>
      <c r="AC37">
        <v>0</v>
      </c>
    </row>
    <row r="38" spans="1:29" x14ac:dyDescent="0.3">
      <c r="A38" t="s">
        <v>29</v>
      </c>
      <c r="B38">
        <v>20</v>
      </c>
      <c r="C38">
        <v>0.12</v>
      </c>
      <c r="D38">
        <v>1.2500000000000001E-5</v>
      </c>
      <c r="E38">
        <v>5.2300000000000004E-5</v>
      </c>
      <c r="F38">
        <v>2.331078862696172</v>
      </c>
      <c r="G38">
        <v>3775</v>
      </c>
      <c r="H38">
        <f t="shared" si="1"/>
        <v>9.5</v>
      </c>
      <c r="I38">
        <v>100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94</v>
      </c>
      <c r="Q38">
        <v>1</v>
      </c>
      <c r="R38">
        <v>15</v>
      </c>
      <c r="W38" t="s">
        <v>72</v>
      </c>
      <c r="X38">
        <v>0</v>
      </c>
      <c r="AB38">
        <v>0</v>
      </c>
      <c r="AC38">
        <v>0</v>
      </c>
    </row>
    <row r="39" spans="1:29" x14ac:dyDescent="0.3">
      <c r="A39" t="s">
        <v>30</v>
      </c>
      <c r="B39">
        <v>5</v>
      </c>
      <c r="C39">
        <v>0.2</v>
      </c>
      <c r="D39">
        <v>3.29E-5</v>
      </c>
      <c r="E39">
        <v>1.139E-4</v>
      </c>
      <c r="F39">
        <v>2.67</v>
      </c>
      <c r="G39">
        <v>8870</v>
      </c>
      <c r="H39">
        <v>13.222</v>
      </c>
      <c r="I39">
        <v>125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94</v>
      </c>
      <c r="Q39">
        <v>0.25</v>
      </c>
      <c r="R39">
        <v>5</v>
      </c>
      <c r="W39" t="s">
        <v>72</v>
      </c>
      <c r="X39">
        <v>0</v>
      </c>
      <c r="AB39">
        <v>0</v>
      </c>
      <c r="AC39">
        <v>0</v>
      </c>
    </row>
    <row r="40" spans="1:29" x14ac:dyDescent="0.3">
      <c r="A40" t="s">
        <v>31</v>
      </c>
      <c r="B40">
        <v>10</v>
      </c>
      <c r="C40">
        <v>0.2</v>
      </c>
      <c r="D40">
        <v>3.29E-5</v>
      </c>
      <c r="E40">
        <v>1.139E-4</v>
      </c>
      <c r="F40">
        <v>5.07</v>
      </c>
      <c r="G40">
        <v>6860</v>
      </c>
      <c r="H40">
        <v>13.222</v>
      </c>
      <c r="I40">
        <v>125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94</v>
      </c>
      <c r="Q40">
        <v>0.5</v>
      </c>
      <c r="R40">
        <v>15</v>
      </c>
      <c r="W40" t="s">
        <v>72</v>
      </c>
      <c r="X40">
        <v>0</v>
      </c>
      <c r="AB40">
        <v>0</v>
      </c>
      <c r="AC40">
        <v>0</v>
      </c>
    </row>
    <row r="41" spans="1:29" x14ac:dyDescent="0.3">
      <c r="A41" t="s">
        <v>32</v>
      </c>
      <c r="B41">
        <v>20</v>
      </c>
      <c r="C41">
        <v>0.25</v>
      </c>
      <c r="D41">
        <v>3.29E-5</v>
      </c>
      <c r="E41">
        <v>1.139E-4</v>
      </c>
      <c r="F41">
        <v>8.6999999999999993</v>
      </c>
      <c r="G41">
        <v>4810</v>
      </c>
      <c r="H41">
        <v>13.222</v>
      </c>
      <c r="I41">
        <v>125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94</v>
      </c>
      <c r="Q41">
        <v>1</v>
      </c>
      <c r="R41">
        <v>25</v>
      </c>
      <c r="W41" t="s">
        <v>72</v>
      </c>
      <c r="X41">
        <v>0</v>
      </c>
      <c r="AB41">
        <v>0</v>
      </c>
      <c r="AC41">
        <v>0</v>
      </c>
    </row>
    <row r="42" spans="1:29" x14ac:dyDescent="0.3">
      <c r="A42" t="s">
        <v>33</v>
      </c>
      <c r="B42">
        <v>5</v>
      </c>
      <c r="C42">
        <v>0.3</v>
      </c>
      <c r="D42">
        <v>6.5000000000000008E-5</v>
      </c>
      <c r="E42">
        <v>3.0499999999999999E-4</v>
      </c>
      <c r="F42">
        <v>3.96</v>
      </c>
      <c r="G42">
        <v>12010</v>
      </c>
      <c r="H42">
        <f>20-3.175</f>
        <v>16.824999999999999</v>
      </c>
      <c r="I42">
        <v>150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94</v>
      </c>
      <c r="Q42">
        <v>0.25</v>
      </c>
      <c r="R42">
        <v>5</v>
      </c>
      <c r="W42" t="s">
        <v>73</v>
      </c>
      <c r="X42">
        <v>0</v>
      </c>
      <c r="AB42">
        <v>0</v>
      </c>
      <c r="AC42">
        <v>0</v>
      </c>
    </row>
    <row r="43" spans="1:29" x14ac:dyDescent="0.3">
      <c r="A43" t="s">
        <v>34</v>
      </c>
      <c r="B43">
        <v>10</v>
      </c>
      <c r="C43">
        <v>0.3</v>
      </c>
      <c r="D43">
        <v>6.5000000000000008E-5</v>
      </c>
      <c r="E43">
        <v>3.0499999999999999E-4</v>
      </c>
      <c r="F43">
        <v>9.91</v>
      </c>
      <c r="G43">
        <v>12060</v>
      </c>
      <c r="H43">
        <f t="shared" ref="H43:H44" si="2">20-3.175</f>
        <v>16.824999999999999</v>
      </c>
      <c r="I43">
        <v>150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94</v>
      </c>
      <c r="Q43">
        <v>0.5</v>
      </c>
      <c r="R43">
        <v>15</v>
      </c>
      <c r="W43" t="s">
        <v>73</v>
      </c>
      <c r="X43">
        <v>0</v>
      </c>
      <c r="AB43">
        <v>0</v>
      </c>
      <c r="AC43">
        <v>0</v>
      </c>
    </row>
    <row r="44" spans="1:29" x14ac:dyDescent="0.3">
      <c r="A44" t="s">
        <v>35</v>
      </c>
      <c r="B44">
        <v>20</v>
      </c>
      <c r="C44">
        <v>0.35</v>
      </c>
      <c r="D44">
        <v>6.5000000000000008E-5</v>
      </c>
      <c r="E44">
        <v>3.0499999999999999E-4</v>
      </c>
      <c r="F44">
        <v>16.97</v>
      </c>
      <c r="G44">
        <v>9410</v>
      </c>
      <c r="H44">
        <f t="shared" si="2"/>
        <v>16.824999999999999</v>
      </c>
      <c r="I44">
        <v>150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94</v>
      </c>
      <c r="Q44">
        <v>1</v>
      </c>
      <c r="R44">
        <v>25</v>
      </c>
      <c r="W44" t="s">
        <v>73</v>
      </c>
      <c r="X44">
        <v>0</v>
      </c>
      <c r="AB44">
        <v>0</v>
      </c>
      <c r="AC44">
        <v>0</v>
      </c>
    </row>
    <row r="45" spans="1:29" x14ac:dyDescent="0.3">
      <c r="A45" t="s">
        <v>36</v>
      </c>
      <c r="B45">
        <v>5</v>
      </c>
      <c r="C45">
        <v>0.6</v>
      </c>
      <c r="D45">
        <v>2.1200000000000003E-4</v>
      </c>
      <c r="E45">
        <v>8.2799999999999996E-4</v>
      </c>
      <c r="F45">
        <v>29.06</v>
      </c>
      <c r="G45">
        <v>14640</v>
      </c>
      <c r="H45">
        <f>32-3.969</f>
        <v>28.030999999999999</v>
      </c>
      <c r="I45">
        <v>200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94</v>
      </c>
      <c r="Q45">
        <v>0.25</v>
      </c>
      <c r="R45">
        <v>5</v>
      </c>
      <c r="W45" s="1">
        <v>130</v>
      </c>
      <c r="X45">
        <v>0</v>
      </c>
      <c r="AB45">
        <v>0</v>
      </c>
      <c r="AC45">
        <v>0</v>
      </c>
    </row>
    <row r="46" spans="1:29" x14ac:dyDescent="0.3">
      <c r="A46" t="s">
        <v>37</v>
      </c>
      <c r="B46">
        <v>10</v>
      </c>
      <c r="C46">
        <v>0.6</v>
      </c>
      <c r="D46">
        <v>2.1200000000000003E-4</v>
      </c>
      <c r="E46">
        <v>8.2799999999999996E-4</v>
      </c>
      <c r="F46">
        <v>16.760000000000002</v>
      </c>
      <c r="G46">
        <v>19930</v>
      </c>
      <c r="H46">
        <f t="shared" ref="H46:H47" si="3">32-3.969</f>
        <v>28.030999999999999</v>
      </c>
      <c r="I46">
        <v>200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94</v>
      </c>
      <c r="Q46">
        <v>0.5</v>
      </c>
      <c r="R46">
        <v>15</v>
      </c>
      <c r="W46" s="1">
        <v>130</v>
      </c>
      <c r="X46">
        <v>0</v>
      </c>
      <c r="AB46">
        <v>0</v>
      </c>
      <c r="AC46">
        <v>0</v>
      </c>
    </row>
    <row r="47" spans="1:29" x14ac:dyDescent="0.3">
      <c r="A47" t="s">
        <v>38</v>
      </c>
      <c r="B47">
        <v>20</v>
      </c>
      <c r="C47">
        <v>0.7</v>
      </c>
      <c r="D47">
        <v>2.1200000000000003E-4</v>
      </c>
      <c r="E47">
        <v>8.2799999999999996E-4</v>
      </c>
      <c r="F47">
        <v>49.79</v>
      </c>
      <c r="G47">
        <v>15420</v>
      </c>
      <c r="H47">
        <f t="shared" si="3"/>
        <v>28.030999999999999</v>
      </c>
      <c r="I47">
        <v>200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94</v>
      </c>
      <c r="Q47">
        <v>1</v>
      </c>
      <c r="R47">
        <v>25</v>
      </c>
      <c r="W47" s="1">
        <v>130</v>
      </c>
      <c r="X47">
        <v>0</v>
      </c>
      <c r="AB47">
        <v>0</v>
      </c>
      <c r="AC47">
        <v>0</v>
      </c>
    </row>
    <row r="48" spans="1:29" x14ac:dyDescent="0.3">
      <c r="A48" t="s">
        <v>39</v>
      </c>
      <c r="B48">
        <v>25</v>
      </c>
      <c r="C48">
        <v>0.5</v>
      </c>
      <c r="D48">
        <v>6.5000000000000008E-5</v>
      </c>
      <c r="E48">
        <v>3.0499999999999999E-4</v>
      </c>
      <c r="F48">
        <v>36.380000000000003</v>
      </c>
      <c r="G48">
        <v>10330</v>
      </c>
      <c r="H48">
        <f>25-3.175</f>
        <v>21.824999999999999</v>
      </c>
      <c r="I48">
        <v>175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94</v>
      </c>
      <c r="Q48">
        <v>1.2</v>
      </c>
      <c r="R48">
        <v>30</v>
      </c>
      <c r="W48" s="1">
        <v>130</v>
      </c>
      <c r="X48">
        <v>0</v>
      </c>
      <c r="AB48">
        <v>0</v>
      </c>
      <c r="AC48">
        <v>0</v>
      </c>
    </row>
    <row r="49" spans="1:29" x14ac:dyDescent="0.3">
      <c r="A49" t="s">
        <v>43</v>
      </c>
      <c r="B49">
        <v>10</v>
      </c>
      <c r="C49">
        <v>1</v>
      </c>
      <c r="D49">
        <v>6.7100000000000005E-4</v>
      </c>
      <c r="E49">
        <v>2.0400000000000001E-3</v>
      </c>
      <c r="F49">
        <v>32.65</v>
      </c>
      <c r="G49">
        <v>41830</v>
      </c>
      <c r="H49">
        <f>40-6.35</f>
        <v>33.65</v>
      </c>
      <c r="I49">
        <v>225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94</v>
      </c>
      <c r="Q49">
        <v>0.5</v>
      </c>
      <c r="R49">
        <v>15</v>
      </c>
      <c r="W49" t="s">
        <v>75</v>
      </c>
      <c r="X49">
        <v>0</v>
      </c>
      <c r="AB49">
        <v>0</v>
      </c>
      <c r="AC49">
        <v>0</v>
      </c>
    </row>
    <row r="50" spans="1:29" x14ac:dyDescent="0.3">
      <c r="A50" t="s">
        <v>42</v>
      </c>
      <c r="B50">
        <v>20</v>
      </c>
      <c r="C50">
        <v>1.2</v>
      </c>
      <c r="D50">
        <v>6.7100000000000005E-4</v>
      </c>
      <c r="E50">
        <v>2.0400000000000001E-3</v>
      </c>
      <c r="F50">
        <v>55.94</v>
      </c>
      <c r="G50">
        <v>32290</v>
      </c>
      <c r="H50">
        <f t="shared" ref="H50:H51" si="4">40-6.35</f>
        <v>33.65</v>
      </c>
      <c r="I50">
        <v>225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94</v>
      </c>
      <c r="Q50">
        <v>1</v>
      </c>
      <c r="R50">
        <v>25</v>
      </c>
      <c r="W50" t="s">
        <v>75</v>
      </c>
      <c r="X50">
        <v>0</v>
      </c>
      <c r="AB50">
        <v>0</v>
      </c>
      <c r="AC50">
        <v>0</v>
      </c>
    </row>
    <row r="51" spans="1:29" x14ac:dyDescent="0.3">
      <c r="A51" t="s">
        <v>41</v>
      </c>
      <c r="B51">
        <v>40</v>
      </c>
      <c r="C51">
        <v>1.4</v>
      </c>
      <c r="D51">
        <v>6.7100000000000005E-4</v>
      </c>
      <c r="E51">
        <v>2.0400000000000001E-3</v>
      </c>
      <c r="F51">
        <v>111.17</v>
      </c>
      <c r="G51">
        <v>28950</v>
      </c>
      <c r="H51">
        <f t="shared" si="4"/>
        <v>33.65</v>
      </c>
      <c r="I51">
        <v>225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94</v>
      </c>
      <c r="Q51">
        <v>2</v>
      </c>
      <c r="R51">
        <v>35</v>
      </c>
      <c r="W51" t="s">
        <v>75</v>
      </c>
      <c r="X51">
        <v>0</v>
      </c>
      <c r="AB51">
        <v>0</v>
      </c>
      <c r="AC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Antropov</dc:creator>
  <cp:lastModifiedBy>Andrei Antropov</cp:lastModifiedBy>
  <dcterms:created xsi:type="dcterms:W3CDTF">2025-07-25T12:28:19Z</dcterms:created>
  <dcterms:modified xsi:type="dcterms:W3CDTF">2026-03-18T08:43:53Z</dcterms:modified>
</cp:coreProperties>
</file>