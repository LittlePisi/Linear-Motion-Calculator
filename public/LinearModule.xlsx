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6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0" i="1" l="1"/>
  <c r="H41" i="1"/>
  <c r="H39" i="1"/>
  <c r="H38" i="1"/>
  <c r="H36" i="1"/>
  <c r="H37" i="1"/>
  <c r="H35" i="1"/>
  <c r="H33" i="1"/>
  <c r="H34" i="1"/>
  <c r="H32" i="1"/>
  <c r="H23" i="1"/>
  <c r="H24" i="1"/>
  <c r="H25" i="1"/>
  <c r="H26" i="1"/>
  <c r="H27" i="1"/>
  <c r="H28" i="1"/>
  <c r="H22" i="1"/>
  <c r="H21" i="1"/>
  <c r="H20" i="1"/>
  <c r="H8" i="1"/>
  <c r="H9" i="1"/>
  <c r="H7" i="1"/>
</calcChain>
</file>

<file path=xl/sharedStrings.xml><?xml version="1.0" encoding="utf-8"?>
<sst xmlns="http://schemas.openxmlformats.org/spreadsheetml/2006/main" count="98" uniqueCount="63">
  <si>
    <t>ITO40</t>
  </si>
  <si>
    <t>ITO60</t>
  </si>
  <si>
    <t>ITO80</t>
  </si>
  <si>
    <t>ITO100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</si>
  <si>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</si>
  <si>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</si>
  <si>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</si>
  <si>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</si>
  <si>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</si>
  <si>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</si>
  <si>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</si>
  <si>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</si>
  <si>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</si>
  <si>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</si>
  <si>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</si>
  <si>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</si>
  <si>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</si>
  <si>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</si>
  <si>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</si>
  <si>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</si>
  <si>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</si>
  <si>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</si>
  <si>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</si>
  <si>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</si>
  <si>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</si>
  <si>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</si>
  <si>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</si>
  <si>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</si>
  <si>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</si>
  <si>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</si>
  <si>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</si>
  <si>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</si>
  <si>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</si>
  <si>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</si>
  <si>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</si>
  <si>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</si>
  <si>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</si>
  <si>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</si>
  <si>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</si>
  <si>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</si>
  <si>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</si>
  <si>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</si>
  <si>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</si>
  <si>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</si>
  <si>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</si>
  <si>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</si>
  <si>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</si>
  <si>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</si>
  <si>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</si>
  <si>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</si>
  <si>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</si>
  <si>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</si>
  <si>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</si>
  <si>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</si>
  <si>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</si>
  <si>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</si>
  <si>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</si>
  <si>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</si>
  <si>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</si>
  <si>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</si>
  <si>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</si>
  <si>
    <t>mod_maxSpeed</t>
  </si>
  <si>
    <t>mod_maxAcc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</si>
</sst>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">
    <xf numFmtId="0" fontId="0" fillId="0" borderId="0" xfId="0"/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1"/>
  <sheetViews>
    <sheetView tabSelected="1" workbookViewId="0">
      <selection activeCell="U16" sqref="U16:V16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</cols>
  <sheetData>
    <row r="1" spans="1:18" x14ac:dyDescent="0.3">
      <c r="A1" t="s">
        <v>4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43</v>
      </c>
      <c r="H1" t="s">
        <v>47</v>
      </c>
      <c r="I1" t="s">
        <v>48</v>
      </c>
      <c r="J1" t="s">
        <v>49</v>
      </c>
      <c r="K1" t="s">
        <v>50</v>
      </c>
      <c r="L1" t="s">
        <v>51</v>
      </c>
      <c r="M1" t="s">
        <v>52</v>
      </c>
      <c r="N1" t="s">
        <v>53</v>
      </c>
      <c r="O1" t="s">
        <v>54</v>
      </c>
      <c r="P1" t="s">
        <v>55</v>
      </c>
      <c r="Q1" t="s">
        <v>61</v>
      </c>
      <c r="R1" t="s">
        <v>62</v>
      </c>
    </row>
    <row r="2" spans="1:18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56</v>
      </c>
      <c r="Q2">
        <v>3</v>
      </c>
      <c r="R2">
        <v>50</v>
      </c>
    </row>
    <row r="3" spans="1:18" x14ac:dyDescent="0.3">
      <c r="A3" t="s">
        <v>1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56</v>
      </c>
      <c r="Q3">
        <v>5</v>
      </c>
      <c r="R3">
        <v>50</v>
      </c>
    </row>
    <row r="4" spans="1:18" x14ac:dyDescent="0.3">
      <c r="A4" t="s">
        <v>2</v>
      </c>
      <c r="B4">
        <v>176</v>
      </c>
      <c r="C4">
        <v>0.5</v>
      </c>
      <c r="D4">
        <v>2.1577800000000002E-3</v>
      </c>
      <c r="E4">
        <v>3.1371000000000003E-4</v>
      </c>
      <c r="F4">
        <v>42</v>
      </c>
      <c r="G4">
        <v>0</v>
      </c>
      <c r="H4">
        <v>0</v>
      </c>
      <c r="I4">
        <v>0</v>
      </c>
      <c r="J4">
        <v>75</v>
      </c>
      <c r="K4">
        <v>210</v>
      </c>
      <c r="L4">
        <v>210</v>
      </c>
      <c r="M4">
        <v>76</v>
      </c>
      <c r="N4">
        <v>1250</v>
      </c>
      <c r="O4">
        <v>50</v>
      </c>
      <c r="P4" t="s">
        <v>56</v>
      </c>
      <c r="Q4">
        <v>5</v>
      </c>
      <c r="R4">
        <v>50</v>
      </c>
    </row>
    <row r="5" spans="1:18" x14ac:dyDescent="0.3">
      <c r="A5" t="s">
        <v>3</v>
      </c>
      <c r="B5">
        <v>224</v>
      </c>
      <c r="C5">
        <v>0.9</v>
      </c>
      <c r="D5">
        <v>6.0618000000000009E-3</v>
      </c>
      <c r="E5">
        <v>8.5946000000000004E-4</v>
      </c>
      <c r="F5">
        <v>105.7</v>
      </c>
      <c r="G5">
        <v>0</v>
      </c>
      <c r="H5">
        <v>0</v>
      </c>
      <c r="I5">
        <v>0</v>
      </c>
      <c r="J5">
        <v>115</v>
      </c>
      <c r="K5">
        <v>310</v>
      </c>
      <c r="L5">
        <v>310</v>
      </c>
      <c r="M5">
        <v>95</v>
      </c>
      <c r="N5">
        <v>1500</v>
      </c>
      <c r="O5">
        <v>65</v>
      </c>
      <c r="P5" t="s">
        <v>56</v>
      </c>
      <c r="Q5">
        <v>5</v>
      </c>
      <c r="R5">
        <v>50</v>
      </c>
    </row>
    <row r="6" spans="1:18" x14ac:dyDescent="0.3">
      <c r="A6" t="s">
        <v>5</v>
      </c>
      <c r="B6">
        <v>176</v>
      </c>
      <c r="C6">
        <v>1.2</v>
      </c>
      <c r="D6">
        <v>4.0000000000000001E-3</v>
      </c>
      <c r="E6">
        <v>3.1345E-4</v>
      </c>
      <c r="F6">
        <v>112.7</v>
      </c>
      <c r="G6">
        <v>0</v>
      </c>
      <c r="H6">
        <v>0</v>
      </c>
      <c r="I6">
        <v>0</v>
      </c>
      <c r="J6">
        <v>395.1</v>
      </c>
      <c r="K6">
        <v>356.2</v>
      </c>
      <c r="L6">
        <v>348.8</v>
      </c>
      <c r="M6">
        <v>60</v>
      </c>
      <c r="N6">
        <v>7500</v>
      </c>
      <c r="O6">
        <v>40</v>
      </c>
      <c r="P6" t="s">
        <v>56</v>
      </c>
      <c r="Q6">
        <v>5</v>
      </c>
      <c r="R6">
        <v>50</v>
      </c>
    </row>
    <row r="7" spans="1:18" x14ac:dyDescent="0.3">
      <c r="A7" t="s">
        <v>11</v>
      </c>
      <c r="B7">
        <v>5</v>
      </c>
      <c r="C7">
        <v>0.4</v>
      </c>
      <c r="D7">
        <v>1.5E-6</v>
      </c>
      <c r="E7">
        <v>1.13E-5</v>
      </c>
      <c r="F7">
        <v>0.28578612135434128</v>
      </c>
      <c r="G7">
        <v>4829</v>
      </c>
      <c r="H7">
        <f>12-2.5</f>
        <v>9.5</v>
      </c>
      <c r="I7">
        <v>100</v>
      </c>
      <c r="J7">
        <v>12.6</v>
      </c>
      <c r="K7">
        <v>8.8000000000000007</v>
      </c>
      <c r="L7">
        <v>8.8000000000000007</v>
      </c>
      <c r="M7">
        <v>40</v>
      </c>
      <c r="N7">
        <v>10000</v>
      </c>
      <c r="O7">
        <v>30</v>
      </c>
      <c r="P7" t="s">
        <v>58</v>
      </c>
      <c r="Q7">
        <v>0.25</v>
      </c>
      <c r="R7">
        <v>5</v>
      </c>
    </row>
    <row r="8" spans="1:18" x14ac:dyDescent="0.3">
      <c r="A8" t="s">
        <v>12</v>
      </c>
      <c r="B8">
        <v>10</v>
      </c>
      <c r="C8">
        <v>0.4</v>
      </c>
      <c r="D8">
        <v>1.5E-6</v>
      </c>
      <c r="E8">
        <v>1.13E-5</v>
      </c>
      <c r="F8">
        <v>0.54</v>
      </c>
      <c r="G8">
        <v>4680</v>
      </c>
      <c r="H8">
        <f t="shared" ref="H8:H9" si="0">12-2.5</f>
        <v>9.5</v>
      </c>
      <c r="I8">
        <v>100</v>
      </c>
      <c r="J8">
        <v>12.6</v>
      </c>
      <c r="K8">
        <v>8.8000000000000007</v>
      </c>
      <c r="L8">
        <v>8.8000000000000007</v>
      </c>
      <c r="M8">
        <v>40</v>
      </c>
      <c r="N8">
        <v>10000</v>
      </c>
      <c r="O8">
        <v>30</v>
      </c>
      <c r="P8" t="s">
        <v>58</v>
      </c>
      <c r="Q8">
        <v>0.5</v>
      </c>
      <c r="R8">
        <v>15</v>
      </c>
    </row>
    <row r="9" spans="1:18" x14ac:dyDescent="0.3">
      <c r="A9" t="s">
        <v>13</v>
      </c>
      <c r="B9">
        <v>20</v>
      </c>
      <c r="C9">
        <v>0.4</v>
      </c>
      <c r="D9">
        <v>1.5E-6</v>
      </c>
      <c r="E9">
        <v>1.13E-5</v>
      </c>
      <c r="F9">
        <v>1.08</v>
      </c>
      <c r="G9">
        <v>4250</v>
      </c>
      <c r="H9">
        <f t="shared" si="0"/>
        <v>9.5</v>
      </c>
      <c r="I9">
        <v>100</v>
      </c>
      <c r="J9">
        <v>12.6</v>
      </c>
      <c r="K9">
        <v>8.8000000000000007</v>
      </c>
      <c r="L9">
        <v>8.8000000000000007</v>
      </c>
      <c r="M9">
        <v>40</v>
      </c>
      <c r="N9">
        <v>10000</v>
      </c>
      <c r="O9">
        <v>30</v>
      </c>
      <c r="P9" t="s">
        <v>58</v>
      </c>
      <c r="Q9">
        <v>1</v>
      </c>
      <c r="R9">
        <v>25</v>
      </c>
    </row>
    <row r="10" spans="1:18" x14ac:dyDescent="0.3">
      <c r="A10" t="s">
        <v>14</v>
      </c>
      <c r="B10">
        <v>5</v>
      </c>
      <c r="C10">
        <v>0.75</v>
      </c>
      <c r="D10">
        <v>9.9999999999999991E-6</v>
      </c>
      <c r="E10">
        <v>3.57E-5</v>
      </c>
      <c r="F10">
        <v>0.5</v>
      </c>
      <c r="G10">
        <v>8042</v>
      </c>
      <c r="H10">
        <v>13.222</v>
      </c>
      <c r="I10">
        <v>125</v>
      </c>
      <c r="J10">
        <v>43.5</v>
      </c>
      <c r="K10">
        <v>26.2</v>
      </c>
      <c r="L10">
        <v>26.2</v>
      </c>
      <c r="M10">
        <v>50</v>
      </c>
      <c r="N10">
        <v>10000</v>
      </c>
      <c r="O10">
        <v>40</v>
      </c>
      <c r="P10" t="s">
        <v>58</v>
      </c>
      <c r="Q10">
        <v>0.25</v>
      </c>
      <c r="R10">
        <v>5</v>
      </c>
    </row>
    <row r="11" spans="1:18" x14ac:dyDescent="0.3">
      <c r="A11" t="s">
        <v>15</v>
      </c>
      <c r="B11">
        <v>10</v>
      </c>
      <c r="C11">
        <v>0.75</v>
      </c>
      <c r="D11">
        <v>9.9999999999999991E-6</v>
      </c>
      <c r="E11">
        <v>3.57E-5</v>
      </c>
      <c r="F11">
        <v>1</v>
      </c>
      <c r="G11">
        <v>6300</v>
      </c>
      <c r="H11">
        <v>13.222</v>
      </c>
      <c r="I11">
        <v>125</v>
      </c>
      <c r="J11">
        <v>43.5</v>
      </c>
      <c r="K11">
        <v>26.2</v>
      </c>
      <c r="L11">
        <v>26.2</v>
      </c>
      <c r="M11">
        <v>50</v>
      </c>
      <c r="N11">
        <v>10000</v>
      </c>
      <c r="O11">
        <v>40</v>
      </c>
      <c r="P11" t="s">
        <v>58</v>
      </c>
      <c r="Q11">
        <v>0.5</v>
      </c>
      <c r="R11">
        <v>15</v>
      </c>
    </row>
    <row r="12" spans="1:18" x14ac:dyDescent="0.3">
      <c r="A12" t="s">
        <v>16</v>
      </c>
      <c r="B12">
        <v>20</v>
      </c>
      <c r="C12">
        <v>0.75</v>
      </c>
      <c r="D12">
        <v>9.9999999999999991E-6</v>
      </c>
      <c r="E12">
        <v>3.57E-5</v>
      </c>
      <c r="F12">
        <v>1.66</v>
      </c>
      <c r="G12">
        <v>4152</v>
      </c>
      <c r="H12">
        <v>13.222</v>
      </c>
      <c r="I12">
        <v>125</v>
      </c>
      <c r="J12">
        <v>43.5</v>
      </c>
      <c r="K12">
        <v>26.2</v>
      </c>
      <c r="L12">
        <v>26.2</v>
      </c>
      <c r="M12">
        <v>50</v>
      </c>
      <c r="N12">
        <v>10000</v>
      </c>
      <c r="O12">
        <v>40</v>
      </c>
      <c r="P12" t="s">
        <v>58</v>
      </c>
      <c r="Q12">
        <v>1</v>
      </c>
      <c r="R12">
        <v>25</v>
      </c>
    </row>
    <row r="13" spans="1:18" x14ac:dyDescent="0.3">
      <c r="A13" t="s">
        <v>17</v>
      </c>
      <c r="B13">
        <v>32</v>
      </c>
      <c r="C13">
        <v>0.75</v>
      </c>
      <c r="D13">
        <v>9.9999999999999991E-6</v>
      </c>
      <c r="E13">
        <v>3.57E-5</v>
      </c>
      <c r="F13">
        <v>3.11</v>
      </c>
      <c r="G13">
        <v>4190</v>
      </c>
      <c r="H13">
        <v>13.222</v>
      </c>
      <c r="I13">
        <v>125</v>
      </c>
      <c r="J13">
        <v>43.5</v>
      </c>
      <c r="K13">
        <v>26.2</v>
      </c>
      <c r="L13">
        <v>26.2</v>
      </c>
      <c r="M13">
        <v>50</v>
      </c>
      <c r="N13">
        <v>10000</v>
      </c>
      <c r="O13">
        <v>40</v>
      </c>
      <c r="P13" t="s">
        <v>58</v>
      </c>
      <c r="Q13">
        <v>1.6</v>
      </c>
      <c r="R13">
        <v>30</v>
      </c>
    </row>
    <row r="14" spans="1:18" x14ac:dyDescent="0.3">
      <c r="A14" t="s">
        <v>18</v>
      </c>
      <c r="B14">
        <v>5</v>
      </c>
      <c r="C14">
        <v>1.3</v>
      </c>
      <c r="D14">
        <v>6.4459999999999989E-5</v>
      </c>
      <c r="E14">
        <v>1E-4</v>
      </c>
      <c r="F14">
        <v>0.73</v>
      </c>
      <c r="G14">
        <v>11570</v>
      </c>
      <c r="H14">
        <v>13.222</v>
      </c>
      <c r="I14">
        <v>125</v>
      </c>
      <c r="J14">
        <v>233.4</v>
      </c>
      <c r="K14">
        <v>129.69999999999999</v>
      </c>
      <c r="L14">
        <v>129.69999999999999</v>
      </c>
      <c r="M14">
        <v>50</v>
      </c>
      <c r="N14">
        <v>10000</v>
      </c>
      <c r="O14">
        <v>35</v>
      </c>
      <c r="P14" t="s">
        <v>59</v>
      </c>
      <c r="Q14">
        <v>0.25</v>
      </c>
      <c r="R14">
        <v>5</v>
      </c>
    </row>
    <row r="15" spans="1:18" x14ac:dyDescent="0.3">
      <c r="A15" t="s">
        <v>19</v>
      </c>
      <c r="B15">
        <v>10</v>
      </c>
      <c r="C15">
        <v>1.3</v>
      </c>
      <c r="D15">
        <v>6.4459999999999989E-5</v>
      </c>
      <c r="E15">
        <v>1E-4</v>
      </c>
      <c r="F15">
        <v>1</v>
      </c>
      <c r="G15">
        <v>6300</v>
      </c>
      <c r="H15">
        <v>13.222</v>
      </c>
      <c r="I15">
        <v>125</v>
      </c>
      <c r="J15">
        <v>233.4</v>
      </c>
      <c r="K15">
        <v>129.69999999999999</v>
      </c>
      <c r="L15">
        <v>129.69999999999999</v>
      </c>
      <c r="M15">
        <v>50</v>
      </c>
      <c r="N15">
        <v>10000</v>
      </c>
      <c r="O15">
        <v>35</v>
      </c>
      <c r="P15" t="s">
        <v>59</v>
      </c>
      <c r="Q15">
        <v>0.5</v>
      </c>
      <c r="R15">
        <v>15</v>
      </c>
    </row>
    <row r="16" spans="1:18" x14ac:dyDescent="0.3">
      <c r="A16" t="s">
        <v>20</v>
      </c>
      <c r="B16">
        <v>20</v>
      </c>
      <c r="C16">
        <v>1.3</v>
      </c>
      <c r="D16">
        <v>6.4459999999999989E-5</v>
      </c>
      <c r="E16">
        <v>1E-4</v>
      </c>
      <c r="F16">
        <v>1.66</v>
      </c>
      <c r="G16">
        <v>4152</v>
      </c>
      <c r="H16">
        <v>13.222</v>
      </c>
      <c r="I16">
        <v>125</v>
      </c>
      <c r="J16">
        <v>233.4</v>
      </c>
      <c r="K16">
        <v>129.69999999999999</v>
      </c>
      <c r="L16">
        <v>129.69999999999999</v>
      </c>
      <c r="M16">
        <v>50</v>
      </c>
      <c r="N16">
        <v>10000</v>
      </c>
      <c r="O16">
        <v>35</v>
      </c>
      <c r="P16" t="s">
        <v>59</v>
      </c>
      <c r="Q16">
        <v>1</v>
      </c>
      <c r="R16">
        <v>25</v>
      </c>
    </row>
    <row r="17" spans="1:18" x14ac:dyDescent="0.3">
      <c r="A17" t="s">
        <v>21</v>
      </c>
      <c r="B17">
        <v>32</v>
      </c>
      <c r="C17">
        <v>1.3</v>
      </c>
      <c r="D17">
        <v>6.4459999999999989E-5</v>
      </c>
      <c r="E17">
        <v>1E-4</v>
      </c>
      <c r="F17">
        <v>5.49</v>
      </c>
      <c r="G17">
        <v>7326</v>
      </c>
      <c r="H17">
        <v>13.222</v>
      </c>
      <c r="I17">
        <v>125</v>
      </c>
      <c r="J17">
        <v>233.4</v>
      </c>
      <c r="K17">
        <v>129.69999999999999</v>
      </c>
      <c r="L17">
        <v>129.69999999999999</v>
      </c>
      <c r="M17">
        <v>50</v>
      </c>
      <c r="N17">
        <v>10000</v>
      </c>
      <c r="O17">
        <v>35</v>
      </c>
      <c r="P17" t="s">
        <v>59</v>
      </c>
      <c r="Q17">
        <v>1.6</v>
      </c>
      <c r="R17">
        <v>30</v>
      </c>
    </row>
    <row r="18" spans="1:18" x14ac:dyDescent="0.3">
      <c r="A18" t="s">
        <v>22</v>
      </c>
      <c r="B18">
        <v>40</v>
      </c>
      <c r="C18">
        <v>0.1</v>
      </c>
      <c r="D18">
        <v>1.5E-6</v>
      </c>
      <c r="E18">
        <v>9.4600000000000009E-6</v>
      </c>
      <c r="F18">
        <v>1.0191082802547771</v>
      </c>
      <c r="G18">
        <v>0</v>
      </c>
      <c r="H18">
        <v>0</v>
      </c>
      <c r="I18">
        <v>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57</v>
      </c>
      <c r="Q18">
        <v>2</v>
      </c>
      <c r="R18">
        <v>40</v>
      </c>
    </row>
    <row r="19" spans="1:18" x14ac:dyDescent="0.3">
      <c r="A19" t="s">
        <v>23</v>
      </c>
      <c r="B19">
        <v>48</v>
      </c>
      <c r="C19">
        <v>0.25</v>
      </c>
      <c r="D19">
        <v>6.9999999999999999E-6</v>
      </c>
      <c r="E19">
        <v>9.7150000000000003E-5</v>
      </c>
      <c r="F19">
        <v>1.7298022125377137</v>
      </c>
      <c r="G19">
        <v>0</v>
      </c>
      <c r="H19">
        <v>0</v>
      </c>
      <c r="I19">
        <v>0</v>
      </c>
      <c r="J19">
        <v>43.5</v>
      </c>
      <c r="K19">
        <v>26.2</v>
      </c>
      <c r="L19">
        <v>26.2</v>
      </c>
      <c r="M19">
        <v>50</v>
      </c>
      <c r="N19">
        <v>10000</v>
      </c>
      <c r="O19">
        <v>40</v>
      </c>
      <c r="P19" t="s">
        <v>57</v>
      </c>
      <c r="Q19">
        <v>2.4</v>
      </c>
      <c r="R19">
        <v>40</v>
      </c>
    </row>
    <row r="20" spans="1:18" x14ac:dyDescent="0.3">
      <c r="A20" t="s">
        <v>24</v>
      </c>
      <c r="B20">
        <v>5</v>
      </c>
      <c r="C20">
        <v>0.1</v>
      </c>
      <c r="D20">
        <v>1.2500000000000001E-5</v>
      </c>
      <c r="E20">
        <v>5.2300000000000004E-5</v>
      </c>
      <c r="F20">
        <v>1.17</v>
      </c>
      <c r="G20">
        <v>5380</v>
      </c>
      <c r="H20">
        <f>12-2.5</f>
        <v>9.5</v>
      </c>
      <c r="I20">
        <v>100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60</v>
      </c>
      <c r="Q20">
        <v>0.25</v>
      </c>
      <c r="R20">
        <v>5</v>
      </c>
    </row>
    <row r="21" spans="1:18" x14ac:dyDescent="0.3">
      <c r="A21" t="s">
        <v>25</v>
      </c>
      <c r="B21">
        <v>10</v>
      </c>
      <c r="C21">
        <v>0.1</v>
      </c>
      <c r="D21">
        <v>1.2500000000000001E-5</v>
      </c>
      <c r="E21">
        <v>5.2300000000000004E-5</v>
      </c>
      <c r="F21">
        <v>2.331078862696172</v>
      </c>
      <c r="G21">
        <v>5430</v>
      </c>
      <c r="H21">
        <f t="shared" ref="H21:H28" si="1">12-2.5</f>
        <v>9.5</v>
      </c>
      <c r="I21">
        <v>100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60</v>
      </c>
      <c r="Q21">
        <v>0.5</v>
      </c>
      <c r="R21">
        <v>10</v>
      </c>
    </row>
    <row r="22" spans="1:18" x14ac:dyDescent="0.3">
      <c r="A22" t="s">
        <v>26</v>
      </c>
      <c r="B22">
        <v>20</v>
      </c>
      <c r="C22">
        <v>0.12</v>
      </c>
      <c r="D22">
        <v>1.2500000000000001E-5</v>
      </c>
      <c r="E22">
        <v>5.2300000000000004E-5</v>
      </c>
      <c r="F22">
        <v>2.331078862696172</v>
      </c>
      <c r="G22">
        <v>3775</v>
      </c>
      <c r="H22">
        <f t="shared" si="1"/>
        <v>9.5</v>
      </c>
      <c r="I22">
        <v>100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60</v>
      </c>
      <c r="Q22">
        <v>1</v>
      </c>
      <c r="R22">
        <v>15</v>
      </c>
    </row>
    <row r="23" spans="1:18" x14ac:dyDescent="0.3">
      <c r="A23" t="s">
        <v>27</v>
      </c>
      <c r="B23">
        <v>5</v>
      </c>
      <c r="C23">
        <v>0.1</v>
      </c>
      <c r="D23">
        <v>1.2500000000000001E-5</v>
      </c>
      <c r="E23">
        <v>5.2300000000000004E-5</v>
      </c>
      <c r="F23">
        <v>1.17</v>
      </c>
      <c r="G23">
        <v>5380</v>
      </c>
      <c r="H23">
        <f t="shared" si="1"/>
        <v>9.5</v>
      </c>
      <c r="I23">
        <v>100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60</v>
      </c>
      <c r="Q23">
        <v>0.25</v>
      </c>
      <c r="R23">
        <v>5</v>
      </c>
    </row>
    <row r="24" spans="1:18" x14ac:dyDescent="0.3">
      <c r="A24" t="s">
        <v>28</v>
      </c>
      <c r="B24">
        <v>10</v>
      </c>
      <c r="C24">
        <v>0.1</v>
      </c>
      <c r="D24">
        <v>1.2500000000000001E-5</v>
      </c>
      <c r="E24">
        <v>5.2300000000000004E-5</v>
      </c>
      <c r="F24">
        <v>2.331078862696172</v>
      </c>
      <c r="G24">
        <v>5430</v>
      </c>
      <c r="H24">
        <f t="shared" si="1"/>
        <v>9.5</v>
      </c>
      <c r="I24">
        <v>100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60</v>
      </c>
      <c r="Q24">
        <v>0.5</v>
      </c>
      <c r="R24">
        <v>10</v>
      </c>
    </row>
    <row r="25" spans="1:18" x14ac:dyDescent="0.3">
      <c r="A25" t="s">
        <v>29</v>
      </c>
      <c r="B25">
        <v>20</v>
      </c>
      <c r="C25">
        <v>0.12</v>
      </c>
      <c r="D25">
        <v>1.2500000000000001E-5</v>
      </c>
      <c r="E25">
        <v>5.2300000000000004E-5</v>
      </c>
      <c r="F25">
        <v>2.331078862696172</v>
      </c>
      <c r="G25">
        <v>3775</v>
      </c>
      <c r="H25">
        <f t="shared" si="1"/>
        <v>9.5</v>
      </c>
      <c r="I25">
        <v>100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60</v>
      </c>
      <c r="Q25">
        <v>1</v>
      </c>
      <c r="R25">
        <v>15</v>
      </c>
    </row>
    <row r="26" spans="1:18" x14ac:dyDescent="0.3">
      <c r="A26" t="s">
        <v>30</v>
      </c>
      <c r="B26">
        <v>5</v>
      </c>
      <c r="C26">
        <v>0.1</v>
      </c>
      <c r="D26">
        <v>1.2500000000000001E-5</v>
      </c>
      <c r="E26">
        <v>5.2300000000000004E-5</v>
      </c>
      <c r="F26">
        <v>1.17</v>
      </c>
      <c r="G26">
        <v>5380</v>
      </c>
      <c r="H26">
        <f t="shared" si="1"/>
        <v>9.5</v>
      </c>
      <c r="I26">
        <v>100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60</v>
      </c>
      <c r="Q26">
        <v>0.25</v>
      </c>
      <c r="R26">
        <v>5</v>
      </c>
    </row>
    <row r="27" spans="1:18" x14ac:dyDescent="0.3">
      <c r="A27" t="s">
        <v>31</v>
      </c>
      <c r="B27">
        <v>10</v>
      </c>
      <c r="C27">
        <v>0.1</v>
      </c>
      <c r="D27">
        <v>1.2500000000000001E-5</v>
      </c>
      <c r="E27">
        <v>5.2300000000000004E-5</v>
      </c>
      <c r="F27">
        <v>2.331078862696172</v>
      </c>
      <c r="G27">
        <v>5430</v>
      </c>
      <c r="H27">
        <f t="shared" si="1"/>
        <v>9.5</v>
      </c>
      <c r="I27">
        <v>100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60</v>
      </c>
      <c r="Q27">
        <v>0.5</v>
      </c>
      <c r="R27">
        <v>10</v>
      </c>
    </row>
    <row r="28" spans="1:18" x14ac:dyDescent="0.3">
      <c r="A28" t="s">
        <v>32</v>
      </c>
      <c r="B28">
        <v>20</v>
      </c>
      <c r="C28">
        <v>0.12</v>
      </c>
      <c r="D28">
        <v>1.2500000000000001E-5</v>
      </c>
      <c r="E28">
        <v>5.2300000000000004E-5</v>
      </c>
      <c r="F28">
        <v>2.331078862696172</v>
      </c>
      <c r="G28">
        <v>3775</v>
      </c>
      <c r="H28">
        <f t="shared" si="1"/>
        <v>9.5</v>
      </c>
      <c r="I28">
        <v>100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60</v>
      </c>
      <c r="Q28">
        <v>1</v>
      </c>
      <c r="R28">
        <v>15</v>
      </c>
    </row>
    <row r="29" spans="1:18" x14ac:dyDescent="0.3">
      <c r="A29" t="s">
        <v>33</v>
      </c>
      <c r="B29">
        <v>5</v>
      </c>
      <c r="C29">
        <v>0.2</v>
      </c>
      <c r="D29">
        <v>3.29E-5</v>
      </c>
      <c r="E29">
        <v>1.139E-4</v>
      </c>
      <c r="F29">
        <v>2.67</v>
      </c>
      <c r="G29">
        <v>8870</v>
      </c>
      <c r="H29">
        <v>13.222</v>
      </c>
      <c r="I29">
        <v>125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60</v>
      </c>
      <c r="Q29">
        <v>0.25</v>
      </c>
      <c r="R29">
        <v>5</v>
      </c>
    </row>
    <row r="30" spans="1:18" x14ac:dyDescent="0.3">
      <c r="A30" t="s">
        <v>34</v>
      </c>
      <c r="B30">
        <v>10</v>
      </c>
      <c r="C30">
        <v>0.2</v>
      </c>
      <c r="D30">
        <v>3.29E-5</v>
      </c>
      <c r="E30">
        <v>1.139E-4</v>
      </c>
      <c r="F30">
        <v>5.07</v>
      </c>
      <c r="G30">
        <v>6860</v>
      </c>
      <c r="H30">
        <v>13.222</v>
      </c>
      <c r="I30">
        <v>125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60</v>
      </c>
      <c r="Q30">
        <v>0.5</v>
      </c>
      <c r="R30">
        <v>15</v>
      </c>
    </row>
    <row r="31" spans="1:18" x14ac:dyDescent="0.3">
      <c r="A31" t="s">
        <v>35</v>
      </c>
      <c r="B31">
        <v>20</v>
      </c>
      <c r="C31">
        <v>0.25</v>
      </c>
      <c r="D31">
        <v>3.29E-5</v>
      </c>
      <c r="E31">
        <v>1.139E-4</v>
      </c>
      <c r="F31">
        <v>8.6999999999999993</v>
      </c>
      <c r="G31">
        <v>4810</v>
      </c>
      <c r="H31">
        <v>13.222</v>
      </c>
      <c r="I31">
        <v>125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60</v>
      </c>
      <c r="Q31">
        <v>1</v>
      </c>
      <c r="R31">
        <v>25</v>
      </c>
    </row>
    <row r="32" spans="1:18" x14ac:dyDescent="0.3">
      <c r="A32" t="s">
        <v>36</v>
      </c>
      <c r="B32">
        <v>5</v>
      </c>
      <c r="C32">
        <v>0.3</v>
      </c>
      <c r="D32">
        <v>6.5000000000000008E-5</v>
      </c>
      <c r="E32">
        <v>3.0499999999999999E-4</v>
      </c>
      <c r="F32">
        <v>3.96</v>
      </c>
      <c r="G32">
        <v>12010</v>
      </c>
      <c r="H32">
        <f>20-3.175</f>
        <v>16.824999999999999</v>
      </c>
      <c r="I32">
        <v>150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60</v>
      </c>
      <c r="Q32">
        <v>0.25</v>
      </c>
      <c r="R32">
        <v>5</v>
      </c>
    </row>
    <row r="33" spans="1:18" x14ac:dyDescent="0.3">
      <c r="A33" t="s">
        <v>37</v>
      </c>
      <c r="B33">
        <v>10</v>
      </c>
      <c r="C33">
        <v>0.3</v>
      </c>
      <c r="D33">
        <v>6.5000000000000008E-5</v>
      </c>
      <c r="E33">
        <v>3.0499999999999999E-4</v>
      </c>
      <c r="F33">
        <v>9.91</v>
      </c>
      <c r="G33">
        <v>12060</v>
      </c>
      <c r="H33">
        <f t="shared" ref="H33:H34" si="2">20-3.175</f>
        <v>16.824999999999999</v>
      </c>
      <c r="I33">
        <v>150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60</v>
      </c>
      <c r="Q33">
        <v>0.5</v>
      </c>
      <c r="R33">
        <v>15</v>
      </c>
    </row>
    <row r="34" spans="1:18" x14ac:dyDescent="0.3">
      <c r="A34" t="s">
        <v>38</v>
      </c>
      <c r="B34">
        <v>20</v>
      </c>
      <c r="C34">
        <v>0.35</v>
      </c>
      <c r="D34">
        <v>6.5000000000000008E-5</v>
      </c>
      <c r="E34">
        <v>3.0499999999999999E-4</v>
      </c>
      <c r="F34">
        <v>16.97</v>
      </c>
      <c r="G34">
        <v>9410</v>
      </c>
      <c r="H34">
        <f t="shared" si="2"/>
        <v>16.824999999999999</v>
      </c>
      <c r="I34">
        <v>150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60</v>
      </c>
      <c r="Q34">
        <v>1</v>
      </c>
      <c r="R34">
        <v>25</v>
      </c>
    </row>
    <row r="35" spans="1:18" x14ac:dyDescent="0.3">
      <c r="A35" t="s">
        <v>39</v>
      </c>
      <c r="B35">
        <v>5</v>
      </c>
      <c r="C35">
        <v>0.6</v>
      </c>
      <c r="D35">
        <v>2.1200000000000003E-4</v>
      </c>
      <c r="E35">
        <v>8.2799999999999996E-4</v>
      </c>
      <c r="F35">
        <v>29.06</v>
      </c>
      <c r="G35">
        <v>14640</v>
      </c>
      <c r="H35">
        <f>32-3.969</f>
        <v>28.030999999999999</v>
      </c>
      <c r="I35">
        <v>200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60</v>
      </c>
      <c r="Q35">
        <v>0.25</v>
      </c>
      <c r="R35">
        <v>5</v>
      </c>
    </row>
    <row r="36" spans="1:18" x14ac:dyDescent="0.3">
      <c r="A36" t="s">
        <v>40</v>
      </c>
      <c r="B36">
        <v>10</v>
      </c>
      <c r="C36">
        <v>0.6</v>
      </c>
      <c r="D36">
        <v>2.1200000000000003E-4</v>
      </c>
      <c r="E36">
        <v>8.2799999999999996E-4</v>
      </c>
      <c r="F36">
        <v>16.760000000000002</v>
      </c>
      <c r="G36">
        <v>19930</v>
      </c>
      <c r="H36">
        <f t="shared" ref="H36:H37" si="3">32-3.969</f>
        <v>28.030999999999999</v>
      </c>
      <c r="I36">
        <v>200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60</v>
      </c>
      <c r="Q36">
        <v>0.5</v>
      </c>
      <c r="R36">
        <v>15</v>
      </c>
    </row>
    <row r="37" spans="1:18" x14ac:dyDescent="0.3">
      <c r="A37" t="s">
        <v>41</v>
      </c>
      <c r="B37">
        <v>20</v>
      </c>
      <c r="C37">
        <v>0.7</v>
      </c>
      <c r="D37">
        <v>2.1200000000000003E-4</v>
      </c>
      <c r="E37">
        <v>8.2799999999999996E-4</v>
      </c>
      <c r="F37">
        <v>49.79</v>
      </c>
      <c r="G37">
        <v>15420</v>
      </c>
      <c r="H37">
        <f t="shared" si="3"/>
        <v>28.030999999999999</v>
      </c>
      <c r="I37">
        <v>200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60</v>
      </c>
      <c r="Q37">
        <v>1</v>
      </c>
      <c r="R37">
        <v>25</v>
      </c>
    </row>
    <row r="38" spans="1:18" x14ac:dyDescent="0.3">
      <c r="A38" t="s">
        <v>42</v>
      </c>
      <c r="B38">
        <v>25</v>
      </c>
      <c r="C38">
        <v>0.5</v>
      </c>
      <c r="D38">
        <v>6.5000000000000008E-5</v>
      </c>
      <c r="E38">
        <v>3.0499999999999999E-4</v>
      </c>
      <c r="F38">
        <v>36.380000000000003</v>
      </c>
      <c r="G38">
        <v>10330</v>
      </c>
      <c r="H38">
        <f>25-3.175</f>
        <v>21.824999999999999</v>
      </c>
      <c r="I38">
        <v>175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60</v>
      </c>
      <c r="Q38">
        <v>1.2</v>
      </c>
      <c r="R38">
        <v>30</v>
      </c>
    </row>
    <row r="39" spans="1:18" x14ac:dyDescent="0.3">
      <c r="A39" t="s">
        <v>46</v>
      </c>
      <c r="B39">
        <v>10</v>
      </c>
      <c r="C39">
        <v>1</v>
      </c>
      <c r="D39">
        <v>6.7100000000000005E-4</v>
      </c>
      <c r="E39">
        <v>2.0400000000000001E-3</v>
      </c>
      <c r="F39">
        <v>32.65</v>
      </c>
      <c r="G39">
        <v>41830</v>
      </c>
      <c r="H39">
        <f>40-6.35</f>
        <v>33.65</v>
      </c>
      <c r="I39">
        <v>225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60</v>
      </c>
      <c r="Q39">
        <v>0.5</v>
      </c>
      <c r="R39">
        <v>15</v>
      </c>
    </row>
    <row r="40" spans="1:18" x14ac:dyDescent="0.3">
      <c r="A40" t="s">
        <v>45</v>
      </c>
      <c r="B40">
        <v>20</v>
      </c>
      <c r="C40">
        <v>1.2</v>
      </c>
      <c r="D40">
        <v>6.7100000000000005E-4</v>
      </c>
      <c r="E40">
        <v>2.0400000000000001E-3</v>
      </c>
      <c r="F40">
        <v>55.94</v>
      </c>
      <c r="G40">
        <v>32290</v>
      </c>
      <c r="H40">
        <f t="shared" ref="H40:H41" si="4">40-6.35</f>
        <v>33.65</v>
      </c>
      <c r="I40">
        <v>225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60</v>
      </c>
      <c r="Q40">
        <v>1</v>
      </c>
      <c r="R40">
        <v>25</v>
      </c>
    </row>
    <row r="41" spans="1:18" x14ac:dyDescent="0.3">
      <c r="A41" t="s">
        <v>44</v>
      </c>
      <c r="B41">
        <v>40</v>
      </c>
      <c r="C41">
        <v>1.4</v>
      </c>
      <c r="D41">
        <v>6.7100000000000005E-4</v>
      </c>
      <c r="E41">
        <v>2.0400000000000001E-3</v>
      </c>
      <c r="F41">
        <v>111.17</v>
      </c>
      <c r="G41">
        <v>28950</v>
      </c>
      <c r="H41">
        <f t="shared" si="4"/>
        <v>33.65</v>
      </c>
      <c r="I41">
        <v>225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60</v>
      </c>
      <c r="Q41">
        <v>2</v>
      </c>
      <c r="R41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2025-09-26T08:34:20Z</dcterms:modified>
</cp:coreProperties>
</file>